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E4BA8E5A-6014-49DC-841E-0BE515D3CCC3}" xr6:coauthVersionLast="47" xr6:coauthVersionMax="47" xr10:uidLastSave="{00000000-0000-0000-0000-000000000000}"/>
  <bookViews>
    <workbookView xWindow="-103" yWindow="-103" windowWidth="22149" windowHeight="11829"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M326" i="3" l="1"/>
  <c r="M327" i="3"/>
  <c r="I327" i="3" s="1"/>
  <c r="M328" i="3"/>
  <c r="I328" i="3" s="1"/>
  <c r="M329" i="3"/>
  <c r="I329" i="3" s="1"/>
  <c r="M330" i="3"/>
  <c r="I330" i="3" s="1"/>
  <c r="M331" i="3"/>
  <c r="I331" i="3" s="1"/>
  <c r="M332" i="3"/>
  <c r="I332" i="3" s="1"/>
  <c r="M333" i="3"/>
  <c r="M334" i="3"/>
  <c r="M335" i="3"/>
  <c r="I326" i="3"/>
  <c r="I333" i="3"/>
  <c r="I334" i="3"/>
  <c r="I335" i="3"/>
  <c r="M314" i="3"/>
  <c r="M315" i="3"/>
  <c r="M316" i="3"/>
  <c r="M317" i="3"/>
  <c r="M318" i="3"/>
  <c r="I318" i="3" s="1"/>
  <c r="M319" i="3"/>
  <c r="I319" i="3" s="1"/>
  <c r="M320" i="3"/>
  <c r="I320" i="3" s="1"/>
  <c r="M321" i="3"/>
  <c r="I321" i="3" s="1"/>
  <c r="M322" i="3"/>
  <c r="I322" i="3" s="1"/>
  <c r="M323" i="3"/>
  <c r="I323" i="3" s="1"/>
  <c r="M324" i="3"/>
  <c r="I324" i="3" s="1"/>
  <c r="M325" i="3"/>
  <c r="I325" i="3" s="1"/>
  <c r="I314" i="3"/>
  <c r="I315" i="3"/>
  <c r="I316" i="3"/>
  <c r="I317" i="3"/>
  <c r="M304" i="3"/>
  <c r="I304" i="3" s="1"/>
  <c r="M305" i="3"/>
  <c r="I305" i="3" s="1"/>
  <c r="M306" i="3"/>
  <c r="I306" i="3" s="1"/>
  <c r="M307" i="3"/>
  <c r="I307" i="3" s="1"/>
  <c r="M308" i="3"/>
  <c r="I308" i="3" s="1"/>
  <c r="M309" i="3"/>
  <c r="I309" i="3" s="1"/>
  <c r="M310" i="3"/>
  <c r="I310" i="3" s="1"/>
  <c r="M311" i="3"/>
  <c r="I311" i="3" s="1"/>
  <c r="M312" i="3"/>
  <c r="I312" i="3" s="1"/>
  <c r="M313" i="3"/>
  <c r="I313" i="3" s="1"/>
  <c r="M294" i="3"/>
  <c r="I294" i="3" s="1"/>
  <c r="M295" i="3"/>
  <c r="I295" i="3" s="1"/>
  <c r="M296" i="3"/>
  <c r="I296" i="3" s="1"/>
  <c r="M297" i="3"/>
  <c r="I297" i="3" s="1"/>
  <c r="M298" i="3"/>
  <c r="M299" i="3"/>
  <c r="M300" i="3"/>
  <c r="I300" i="3" s="1"/>
  <c r="M301" i="3"/>
  <c r="I301" i="3" s="1"/>
  <c r="M302" i="3"/>
  <c r="M303" i="3"/>
  <c r="I303" i="3" s="1"/>
  <c r="I298" i="3"/>
  <c r="I299" i="3"/>
  <c r="I302" i="3"/>
  <c r="M284" i="3"/>
  <c r="I284" i="3" s="1"/>
  <c r="M285" i="3"/>
  <c r="M286" i="3"/>
  <c r="I286" i="3" s="1"/>
  <c r="M287" i="3"/>
  <c r="M288" i="3"/>
  <c r="I288" i="3" s="1"/>
  <c r="M289" i="3"/>
  <c r="I289" i="3" s="1"/>
  <c r="M290" i="3"/>
  <c r="I290" i="3" s="1"/>
  <c r="M291" i="3"/>
  <c r="I291" i="3" s="1"/>
  <c r="M292" i="3"/>
  <c r="I292" i="3" s="1"/>
  <c r="M293" i="3"/>
  <c r="I293" i="3" s="1"/>
  <c r="I287" i="3"/>
  <c r="I285" i="3"/>
  <c r="M274" i="3"/>
  <c r="I274" i="3" s="1"/>
  <c r="M275" i="3"/>
  <c r="M276" i="3"/>
  <c r="M277" i="3"/>
  <c r="M278" i="3"/>
  <c r="M279" i="3"/>
  <c r="M280" i="3"/>
  <c r="I280" i="3" s="1"/>
  <c r="M281" i="3"/>
  <c r="I281" i="3" s="1"/>
  <c r="M282" i="3"/>
  <c r="I282" i="3" s="1"/>
  <c r="M283" i="3"/>
  <c r="I283" i="3" s="1"/>
  <c r="I275" i="3"/>
  <c r="I276" i="3"/>
  <c r="I277" i="3"/>
  <c r="I278" i="3"/>
  <c r="I279" i="3"/>
  <c r="M264" i="3"/>
  <c r="I264" i="3" s="1"/>
  <c r="M265" i="3"/>
  <c r="I265" i="3" s="1"/>
  <c r="M266" i="3"/>
  <c r="I266" i="3" s="1"/>
  <c r="M267" i="3"/>
  <c r="M268" i="3"/>
  <c r="I268" i="3" s="1"/>
  <c r="M269" i="3"/>
  <c r="I269" i="3" s="1"/>
  <c r="M270" i="3"/>
  <c r="I270" i="3" s="1"/>
  <c r="M271" i="3"/>
  <c r="M272" i="3"/>
  <c r="I272" i="3" s="1"/>
  <c r="M273" i="3"/>
  <c r="I267" i="3"/>
  <c r="I271" i="3"/>
  <c r="I273" i="3"/>
  <c r="M257" i="3"/>
  <c r="I257" i="3" s="1"/>
  <c r="M258" i="3"/>
  <c r="I258" i="3" s="1"/>
  <c r="M259" i="3"/>
  <c r="I259" i="3" s="1"/>
  <c r="M260" i="3"/>
  <c r="M261" i="3"/>
  <c r="M262" i="3"/>
  <c r="M263" i="3"/>
  <c r="I263" i="3" s="1"/>
  <c r="I260" i="3"/>
  <c r="I261" i="3"/>
  <c r="I262" i="3"/>
  <c r="I256" i="3"/>
  <c r="M234" i="3"/>
  <c r="I234" i="3" s="1"/>
  <c r="M235" i="3"/>
  <c r="I235" i="3" s="1"/>
  <c r="M236" i="3"/>
  <c r="M237" i="3"/>
  <c r="M238" i="3"/>
  <c r="M239" i="3"/>
  <c r="M240" i="3"/>
  <c r="M241" i="3"/>
  <c r="M242" i="3"/>
  <c r="I242" i="3" s="1"/>
  <c r="M243" i="3"/>
  <c r="I243" i="3" s="1"/>
  <c r="M244" i="3"/>
  <c r="M245" i="3"/>
  <c r="I245" i="3" s="1"/>
  <c r="M246" i="3"/>
  <c r="I246" i="3" s="1"/>
  <c r="M247" i="3"/>
  <c r="I247" i="3" s="1"/>
  <c r="M248" i="3"/>
  <c r="I248" i="3" s="1"/>
  <c r="M249" i="3"/>
  <c r="I249" i="3" s="1"/>
  <c r="M250" i="3"/>
  <c r="I250" i="3" s="1"/>
  <c r="M251" i="3"/>
  <c r="I251" i="3" s="1"/>
  <c r="M252" i="3"/>
  <c r="I252" i="3" s="1"/>
  <c r="M253" i="3"/>
  <c r="I253" i="3" s="1"/>
  <c r="M254" i="3"/>
  <c r="I254" i="3" s="1"/>
  <c r="M255" i="3"/>
  <c r="I255" i="3" s="1"/>
  <c r="M256" i="3"/>
  <c r="I236" i="3"/>
  <c r="I237" i="3"/>
  <c r="I238" i="3"/>
  <c r="I239" i="3"/>
  <c r="I240" i="3"/>
  <c r="I241" i="3"/>
  <c r="I244" i="3"/>
  <c r="M219" i="3"/>
  <c r="I219" i="3" s="1"/>
  <c r="M220" i="3"/>
  <c r="I220" i="3" s="1"/>
  <c r="M221" i="3"/>
  <c r="I221" i="3" s="1"/>
  <c r="M222" i="3"/>
  <c r="I222" i="3" s="1"/>
  <c r="M223" i="3"/>
  <c r="I223" i="3" s="1"/>
  <c r="M224" i="3"/>
  <c r="I224" i="3" s="1"/>
  <c r="M225" i="3"/>
  <c r="I225" i="3" s="1"/>
  <c r="M226" i="3"/>
  <c r="I226" i="3" s="1"/>
  <c r="M227" i="3"/>
  <c r="I227" i="3" s="1"/>
  <c r="M228" i="3"/>
  <c r="I228" i="3" s="1"/>
  <c r="M229" i="3"/>
  <c r="I229" i="3" s="1"/>
  <c r="M230" i="3"/>
  <c r="I230" i="3" s="1"/>
  <c r="M231" i="3"/>
  <c r="I231" i="3" s="1"/>
  <c r="M232" i="3"/>
  <c r="I232" i="3" s="1"/>
  <c r="M233" i="3"/>
  <c r="I233" i="3" s="1"/>
  <c r="M204" i="3"/>
  <c r="I204" i="3" s="1"/>
  <c r="M205" i="3"/>
  <c r="I205" i="3" s="1"/>
  <c r="M206" i="3"/>
  <c r="I206" i="3" s="1"/>
  <c r="M207" i="3"/>
  <c r="M208" i="3"/>
  <c r="I208" i="3" s="1"/>
  <c r="M209" i="3"/>
  <c r="I209" i="3" s="1"/>
  <c r="M210" i="3"/>
  <c r="I210" i="3" s="1"/>
  <c r="M211" i="3"/>
  <c r="I211" i="3" s="1"/>
  <c r="M212" i="3"/>
  <c r="I212" i="3" s="1"/>
  <c r="M213" i="3"/>
  <c r="I213" i="3" s="1"/>
  <c r="M214" i="3"/>
  <c r="I214" i="3" s="1"/>
  <c r="M215" i="3"/>
  <c r="I215" i="3" s="1"/>
  <c r="M216" i="3"/>
  <c r="I216" i="3" s="1"/>
  <c r="M217" i="3"/>
  <c r="I217" i="3" s="1"/>
  <c r="M218" i="3"/>
  <c r="I218" i="3" s="1"/>
  <c r="I207" i="3"/>
  <c r="M189" i="3"/>
  <c r="M190" i="3"/>
  <c r="I190" i="3" s="1"/>
  <c r="M191" i="3"/>
  <c r="I191" i="3" s="1"/>
  <c r="M192" i="3"/>
  <c r="I192" i="3" s="1"/>
  <c r="M193" i="3"/>
  <c r="I193" i="3" s="1"/>
  <c r="M194" i="3"/>
  <c r="I194" i="3" s="1"/>
  <c r="M195" i="3"/>
  <c r="I195" i="3" s="1"/>
  <c r="M196" i="3"/>
  <c r="I196" i="3" s="1"/>
  <c r="M197" i="3"/>
  <c r="M198" i="3"/>
  <c r="I198" i="3" s="1"/>
  <c r="M199" i="3"/>
  <c r="I199" i="3" s="1"/>
  <c r="M200" i="3"/>
  <c r="I200" i="3" s="1"/>
  <c r="M201" i="3"/>
  <c r="I201" i="3" s="1"/>
  <c r="M202" i="3"/>
  <c r="I202" i="3" s="1"/>
  <c r="M203" i="3"/>
  <c r="I203" i="3" s="1"/>
  <c r="I189" i="3"/>
  <c r="I197" i="3"/>
  <c r="M174" i="3"/>
  <c r="I174" i="3" s="1"/>
  <c r="M175" i="3"/>
  <c r="I175" i="3" s="1"/>
  <c r="M176" i="3"/>
  <c r="I176" i="3" s="1"/>
  <c r="M177" i="3"/>
  <c r="I177" i="3" s="1"/>
  <c r="M178" i="3"/>
  <c r="I178" i="3" s="1"/>
  <c r="M179" i="3"/>
  <c r="I179" i="3" s="1"/>
  <c r="M180" i="3"/>
  <c r="I180" i="3" s="1"/>
  <c r="M181" i="3"/>
  <c r="I181" i="3" s="1"/>
  <c r="M182" i="3"/>
  <c r="I182" i="3" s="1"/>
  <c r="M183" i="3"/>
  <c r="I183" i="3" s="1"/>
  <c r="M184" i="3"/>
  <c r="I184" i="3" s="1"/>
  <c r="M185" i="3"/>
  <c r="I185" i="3" s="1"/>
  <c r="M186" i="3"/>
  <c r="I186" i="3" s="1"/>
  <c r="M187" i="3"/>
  <c r="I187" i="3" s="1"/>
  <c r="M188" i="3"/>
  <c r="I188" i="3" s="1"/>
  <c r="M165" i="3"/>
  <c r="I165" i="3" s="1"/>
  <c r="M166" i="3"/>
  <c r="I166" i="3" s="1"/>
  <c r="M167" i="3"/>
  <c r="I167" i="3" s="1"/>
  <c r="M168" i="3"/>
  <c r="M169" i="3"/>
  <c r="M170" i="3"/>
  <c r="M171" i="3"/>
  <c r="M172" i="3"/>
  <c r="M173" i="3"/>
  <c r="I168" i="3"/>
  <c r="I169" i="3"/>
  <c r="I170" i="3"/>
  <c r="I171" i="3"/>
  <c r="I172" i="3"/>
  <c r="I173" i="3"/>
  <c r="M155" i="3"/>
  <c r="I155" i="3" s="1"/>
  <c r="M156" i="3"/>
  <c r="M157" i="3"/>
  <c r="M158" i="3"/>
  <c r="M159" i="3"/>
  <c r="M160" i="3"/>
  <c r="M161" i="3"/>
  <c r="I161" i="3" s="1"/>
  <c r="M162" i="3"/>
  <c r="I162" i="3" s="1"/>
  <c r="M163" i="3"/>
  <c r="I163" i="3" s="1"/>
  <c r="M164" i="3"/>
  <c r="I164" i="3" s="1"/>
  <c r="I156" i="3"/>
  <c r="I157" i="3"/>
  <c r="I158" i="3"/>
  <c r="I159" i="3"/>
  <c r="I160" i="3"/>
  <c r="M140" i="3"/>
  <c r="M141" i="3"/>
  <c r="I141" i="3" s="1"/>
  <c r="M142" i="3"/>
  <c r="I142" i="3" s="1"/>
  <c r="M143" i="3"/>
  <c r="I143" i="3" s="1"/>
  <c r="M144" i="3"/>
  <c r="I144" i="3" s="1"/>
  <c r="M145" i="3"/>
  <c r="I145" i="3" s="1"/>
  <c r="M146" i="3"/>
  <c r="I146" i="3" s="1"/>
  <c r="M147" i="3"/>
  <c r="I147" i="3" s="1"/>
  <c r="M148" i="3"/>
  <c r="I148" i="3" s="1"/>
  <c r="M149" i="3"/>
  <c r="I149" i="3" s="1"/>
  <c r="M150" i="3"/>
  <c r="I150" i="3" s="1"/>
  <c r="M151" i="3"/>
  <c r="I151" i="3" s="1"/>
  <c r="M152" i="3"/>
  <c r="I152" i="3" s="1"/>
  <c r="M153" i="3"/>
  <c r="I153" i="3" s="1"/>
  <c r="M154" i="3"/>
  <c r="I154" i="3" s="1"/>
  <c r="I140" i="3"/>
  <c r="M138" i="3"/>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<sst xmlns="http://schemas.openxmlformats.org/spreadsheetml/2006/main" count="749" uniqueCount="106">
  <si>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</si>
  <si>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</si>
  <si>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</si>
  <si>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</si>
  <si>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</si>
  <si>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</si>
  <si>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</si>
  <si>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</si>
  <si>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</si>
  <si>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</si>
  <si>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</si>
  <si>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</si>
  <si>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</si>
  <si>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</si>
  <si>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</si>
  <si>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</si>
  <si>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</si>
  <si>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</si>
  <si>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</si>
  <si>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</si>
  <si>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</si>
  <si>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</si>
  <si>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</si>
  <si>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</si>
  <si>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</si>
  <si>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</si>
  <si>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</si>
  <si>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</si>
  <si>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</si>
  <si>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</si>
  <si>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</si>
  <si>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</si>
  <si>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</si>
  <si>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</si>
  <si>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</si>
  <si>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</si>
  <si>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</si>
  <si>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</si>
  <si>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</si>
  <si>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</si>
  <si>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</si>
  <si>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</si>
  <si>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</si>
  <si>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</si>
  <si>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</si>
  <si>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</si>
  <si>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</si>
  <si>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</si>
  <si>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</si>
  <si>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</si>
  <si>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</si>
  <si>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</si>
  <si>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</si>
  <si>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</si>
  <si>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</si>
  <si>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</si>
  <si>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</si>
  <si>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</si>
  <si>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</si>
  <si>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</si>
  <si>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</si>
  <si>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</si>
  <si>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</si>
  <si>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</si>
  <si>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</si>
  <si>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</si>
  <si>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</si>
  <si>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</si>
  <si>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</si>
  <si>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</si>
  <si>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</si>
  <si>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</si>
  <si>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</si>
  <si>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</si>
  <si>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</si>
  <si>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</si>
  <si>
    <t>100139_1 100139_2 100139_3 100139_4</t>
  </si>
  <si>
    <t>Lunar Force 1 Duckboot</t>
  </si>
  <si>
    <t>100154_1 100154_2 100154_3 100154_4 100154_5 100154_6</t>
  </si>
  <si>
    <t>Айдың қараңғы бетіне қарағанда суық болып, жаңбыр сіркіреп тұрған күннің өзінде де стильді көріну керек. Су өткізбейтін былғары мен мықты табанның арқасында Lunar Force 1 AF1 стилін ауа райына бейімдеп, сенің жалқыны сөніп қалмайды. Шнурға арналған металл бөлшектер мен үлкейтілген тілше тау етігінің беріктігін береді, ал мұрын бөлігіндегі жұлдызша өрнегі бейнеңе айқындық қосады.
Когда на улице холоднее, чем на тёмной стороне Луны, и ещё моросит дождь — всё равно нужно выглядеть круто. Благодаря водоотталкивающей коже и прочной подошве Lunar Force 1 адаптирует стиль AF1 так, чтобы ты сохранял свой огонь в любую погоду. Металлическая фурнитура для шнурков и увеличенный язык придают ботинкам прочность в стиле горной обуви, а звёздный узор на носке добавляет образу остроты.</t>
  </si>
  <si>
    <t>Offline 3.0 slippers</t>
  </si>
  <si>
    <t>100164_1 100164_2 100164_3 100164_4 100164_5</t>
  </si>
  <si>
    <t>Air Jordan 1 low</t>
  </si>
  <si>
    <t>100173_1 100173_2 100173_3 100173_4 100173_5</t>
  </si>
  <si>
    <t>1985 жылғы алғашқы модельден шабыт алған Air Jordan 1 Low таза да классикалық стиль ұсынады — әрі таныс, әрі әрдайым заманауи. Кез келген киіммен үйлесетін культтік дизайнының арқасында бұл кроссовкалар әрқашан мінсіз көрінуіңе көмектеседі.
Вдохновлённые оригинальной моделью 1985 года, Air Jordan 1 Low предлагают чистый, классический образ, который одновременно знакомый и всегда свежий. Благодаря культовому дизайну, идеально сочетающемуся с любым стилем, эти кроссовки гарантируют, что ты всегда будешь выглядеть безупречно.</t>
  </si>
  <si>
    <t>100188_1 100188_2 100188_3 100188_4 100188_5</t>
  </si>
  <si>
    <t>blue</t>
  </si>
  <si>
    <t>100203_1 100203_2 100203_3 100203_4 100203_5 100203_6</t>
  </si>
  <si>
    <t>100218_1 100218_2 100218_3 100218_4 100218_5 100218_6</t>
  </si>
  <si>
    <t>Классикаға әрқашан сенуге болады. Dunk Low өзіне тән аңызға айналған түстік стилін премиум материалдармен және жұмсақ ішкі қабатпен үйлестіріп, ерекше жайлылық береді. Мүмкіндіктер шексіз — Dunks-ыңды қалай киесің?
На классику всегда можно положиться. Dunk Low сочетает свой легендарный цветовой стиль с премиальными материалами и мягкой подкладкой, обеспечивая комфорт нового уровня. Возможности безграничны — как будешь носить свои Dunks?</t>
  </si>
  <si>
    <t>Dunk SB Low Pro</t>
  </si>
  <si>
    <t>100233_1 100233_2 100233_3 100233_4 100233_5 100233_6</t>
  </si>
  <si>
    <t>red</t>
  </si>
  <si>
    <t>100248_1 100248_2 100248_3 100248_4 100248_5 100248_6</t>
  </si>
  <si>
    <t>Dunk Low Retro</t>
  </si>
  <si>
    <t>100263_1 100263_2 100263_3 100263_4 100263_5 100263_6</t>
  </si>
  <si>
    <t>100273_1 100273_2 100273_3 100273_4 100273_5 100273_6</t>
  </si>
  <si>
    <t>100283_1 100283_2 100283_3 100283_4 100283_5 100283_6</t>
  </si>
  <si>
    <t>100293_1 100293_2 100293_3 100293_4 100293_5 100293_6</t>
  </si>
  <si>
    <t>purple</t>
  </si>
  <si>
    <t>100303_1 100303_2 100303_3 100303_4 100303_5 100303_6</t>
  </si>
  <si>
    <t>Dunk</t>
  </si>
  <si>
    <t>white/black</t>
  </si>
  <si>
    <t>100313_1 100313_2 100313_3 100313_4 100313_5</t>
  </si>
  <si>
    <t>100325_1 100325_2 100325_3 100325_4 100325_5</t>
  </si>
  <si>
    <t>Бастапқыда баскетбол алаңына арналғанымен, кейін көше стилінің символына айналған 80-жылдардағы аңыз қайта оралды — мінсіз әрленген бөлшектермен және классикалық команда түстерімен. Өзінің танымал баскетбол стилінің арқасында Nike Dunk Low 80-жылдардың винтаж рухын қайта алып келеді, ал жұмсақ төмен жағындағы жағасы кез келген жерде жайлылық сыйлайды.
Созданная для баскетбольной площадки, но ставшая уличной легендой, икона 80-х возвращается с идеально отполированными деталями и классическими командными цветами. Благодаря фирменному баскетбольному дизайну Nike Dunk Low приносит винтажный дух 80-х обратно на улицы, а мягкий низкий ворот обеспечивает комфорт, куда бы ты ни отправился.</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</si>
</sst>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2" x14ac:knownFonts="1">
    <font>
      <sz val="11"/>
      <color theme="1"/>
      <name val="Calibri"/>
      <family val="2"/>
      <charset val="204"/>
      <scheme val="minor"/>
    </font>
    <font>
      <sz val="8"/>
      <name val="Calibri"/>
      <family val="2"/>
      <charset val="204"/>
      <scheme val="minor"/>
    </font>
  </fonts>
  <fills count="2">
    <fill>
      <patternFill patternType="none"/>
    </fill>
    <fill>
      <patternFill patternType="gray125"/>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14">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xf numFmtId="49" fontId="0" fillId="0" borderId="1" xfId="0" applyNumberFormat="1" applyBorder="1" applyAlignment="1">
      <alignment horizontal="left" vertical="center" wrapText="1"/>
    </xf>
    <xf numFmtId="0" fontId="0" fillId="0" borderId="2" xfId="0" applyBorder="1" applyAlignment="1">
      <alignment horizontal="center" vertical="center"/>
    </xf>
    <xf numFmtId="0" fontId="0" fillId="0" borderId="3" xfId="0" applyBorder="1" applyAlignment="1">
      <alignment horizontal="center" vertical="center"/>
    </xf>
    <xf numFmtId="0" fontId="0" fillId="0" borderId="0" xfId="0" applyAlignment="1">
      <alignment horizontal="center" vertical="center" wrapText="1"/>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N335"/>
  <sheetViews>
    <sheetView tabSelected="1" zoomScale="70" zoomScaleNormal="70" workbookViewId="0">
      <pane ySplit="1" topLeftCell="A322" activePane="bottomLeft" state="frozen"/>
      <selection pane="bottomLeft" activeCell="P331" sqref="P331"/>
    </sheetView>
  </sheetViews>
  <sheetFormatPr defaultRowHeight="14.6" x14ac:dyDescent="0.4"/>
  <cols>
    <col min="1" max="2" width="9.23046875" style="2"/>
    <col min="3" max="3" width="31.84375" style="2" bestFit="1" customWidth="1"/>
    <col min="4" max="4" width="9.23046875" style="2"/>
    <col min="5" max="5" width="10.53515625" style="2" bestFit="1" customWidth="1"/>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58"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ht="189.45" x14ac:dyDescent="0.4">
      <c r="A125" s="1">
        <v>100124</v>
      </c>
      <c r="B125" s="1"/>
      <c r="C125" s="1"/>
      <c r="D125" s="1"/>
      <c r="E125" s="1" t="s">
        <v>7</v>
      </c>
      <c r="F125" s="1" t="s">
        <v>74</v>
      </c>
      <c r="G125" s="1">
        <v>3.5</v>
      </c>
      <c r="H125" s="1">
        <v>35.5</v>
      </c>
      <c r="I125" s="5">
        <f t="shared" si="3"/>
        <v>84478.947368421053</v>
      </c>
      <c r="J125" s="1"/>
      <c r="K125" s="1" t="s">
        <v>32</v>
      </c>
      <c r="L125" s="10" t="s">
        <v>73</v>
      </c>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6"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100137</v>
      </c>
      <c r="B138" s="1"/>
      <c r="C138" s="1"/>
      <c r="D138" s="1"/>
      <c r="E138" s="1"/>
      <c r="F138" s="1"/>
      <c r="G138" s="1">
        <v>10</v>
      </c>
      <c r="H138" s="1">
        <v>44</v>
      </c>
      <c r="I138" s="5">
        <f t="shared" ref="I138:I201" si="8">M138</f>
        <v>84478.947368421053</v>
      </c>
      <c r="J138" s="1"/>
      <c r="K138" s="1" t="s">
        <v>32</v>
      </c>
      <c r="L138" s="1"/>
      <c r="M138" s="4">
        <f t="shared" si="6"/>
        <v>84478.947368421053</v>
      </c>
      <c r="N138" s="2">
        <v>740</v>
      </c>
    </row>
    <row r="139" spans="1:14" x14ac:dyDescent="0.4">
      <c r="A139" s="1">
        <v>100138</v>
      </c>
      <c r="B139" s="1"/>
      <c r="C139" s="1"/>
      <c r="D139" s="1"/>
      <c r="E139" s="1"/>
      <c r="F139" s="1"/>
      <c r="G139" s="1">
        <v>10.5</v>
      </c>
      <c r="H139" s="1">
        <v>44.5</v>
      </c>
      <c r="I139" s="5">
        <f t="shared" si="8"/>
        <v>84478.947368421053</v>
      </c>
      <c r="J139" s="1"/>
      <c r="K139" s="1" t="s">
        <v>32</v>
      </c>
      <c r="L139" s="1"/>
      <c r="M139" s="4">
        <f t="shared" si="6"/>
        <v>84478.947368421053</v>
      </c>
      <c r="N139" s="2">
        <v>740</v>
      </c>
    </row>
    <row r="140" spans="1:14" ht="189.45" x14ac:dyDescent="0.4">
      <c r="A140" s="1">
        <v>100139</v>
      </c>
      <c r="B140" s="1"/>
      <c r="C140" s="1"/>
      <c r="D140" s="1" t="s">
        <v>6</v>
      </c>
      <c r="E140" s="1" t="s">
        <v>13</v>
      </c>
      <c r="F140" s="1" t="s">
        <v>76</v>
      </c>
      <c r="G140" s="1">
        <v>3.5</v>
      </c>
      <c r="H140" s="1">
        <v>35.5</v>
      </c>
      <c r="I140" s="5">
        <f t="shared" si="8"/>
        <v>84478.947368421053</v>
      </c>
      <c r="J140" s="1"/>
      <c r="K140" s="1" t="s">
        <v>32</v>
      </c>
      <c r="L140" s="10" t="s">
        <v>73</v>
      </c>
      <c r="M140" s="4">
        <f t="shared" si="6"/>
        <v>84478.947368421053</v>
      </c>
      <c r="N140" s="2">
        <v>740</v>
      </c>
    </row>
    <row r="141" spans="1:14" x14ac:dyDescent="0.4">
      <c r="A141" s="1">
        <v>100140</v>
      </c>
      <c r="B141" s="1"/>
      <c r="C141" s="1"/>
      <c r="D141" s="1"/>
      <c r="E141" s="1"/>
      <c r="F141" s="1"/>
      <c r="G141" s="1">
        <v>4</v>
      </c>
      <c r="H141" s="1">
        <v>36</v>
      </c>
      <c r="I141" s="5">
        <f t="shared" si="8"/>
        <v>84478.947368421053</v>
      </c>
      <c r="J141" s="1"/>
      <c r="K141" s="1" t="s">
        <v>32</v>
      </c>
      <c r="L141" s="1"/>
      <c r="M141" s="4">
        <f t="shared" si="6"/>
        <v>84478.947368421053</v>
      </c>
      <c r="N141" s="2">
        <v>740</v>
      </c>
    </row>
    <row r="142" spans="1:14" x14ac:dyDescent="0.4">
      <c r="A142" s="1">
        <v>100141</v>
      </c>
      <c r="B142" s="1"/>
      <c r="C142" s="1"/>
      <c r="D142" s="1"/>
      <c r="E142" s="1"/>
      <c r="F142" s="1"/>
      <c r="G142" s="1">
        <v>4.5</v>
      </c>
      <c r="H142" s="1">
        <v>36.5</v>
      </c>
      <c r="I142" s="5">
        <f t="shared" si="8"/>
        <v>84478.947368421053</v>
      </c>
      <c r="J142" s="1"/>
      <c r="K142" s="1" t="s">
        <v>32</v>
      </c>
      <c r="L142" s="1"/>
      <c r="M142" s="4">
        <f t="shared" si="6"/>
        <v>84478.947368421053</v>
      </c>
      <c r="N142" s="2">
        <v>740</v>
      </c>
    </row>
    <row r="143" spans="1:14" x14ac:dyDescent="0.4">
      <c r="A143" s="1">
        <v>100142</v>
      </c>
      <c r="B143" s="1"/>
      <c r="C143" s="1"/>
      <c r="D143" s="1"/>
      <c r="E143" s="1"/>
      <c r="F143" s="1"/>
      <c r="G143" s="1">
        <v>5</v>
      </c>
      <c r="H143" s="1">
        <v>37.5</v>
      </c>
      <c r="I143" s="5">
        <f t="shared" si="8"/>
        <v>84478.947368421053</v>
      </c>
      <c r="J143" s="1"/>
      <c r="K143" s="1" t="s">
        <v>32</v>
      </c>
      <c r="L143" s="1"/>
      <c r="M143" s="4">
        <f t="shared" si="6"/>
        <v>84478.947368421053</v>
      </c>
      <c r="N143" s="2">
        <v>740</v>
      </c>
    </row>
    <row r="144" spans="1:14" x14ac:dyDescent="0.4">
      <c r="A144" s="1">
        <v>100143</v>
      </c>
      <c r="B144" s="1"/>
      <c r="C144" s="1"/>
      <c r="D144" s="1"/>
      <c r="E144" s="1"/>
      <c r="F144" s="1"/>
      <c r="G144" s="1">
        <v>5.5</v>
      </c>
      <c r="H144" s="1">
        <v>38</v>
      </c>
      <c r="I144" s="5">
        <f t="shared" si="8"/>
        <v>84478.947368421053</v>
      </c>
      <c r="J144" s="1"/>
      <c r="K144" s="1" t="s">
        <v>32</v>
      </c>
      <c r="L144" s="1"/>
      <c r="M144" s="4">
        <f t="shared" si="6"/>
        <v>84478.947368421053</v>
      </c>
      <c r="N144" s="2">
        <v>740</v>
      </c>
    </row>
    <row r="145" spans="1:14" x14ac:dyDescent="0.4">
      <c r="A145" s="1">
        <v>100144</v>
      </c>
      <c r="B145" s="1"/>
      <c r="C145" s="1"/>
      <c r="D145" s="1"/>
      <c r="E145" s="1"/>
      <c r="F145" s="1"/>
      <c r="G145" s="1">
        <v>6</v>
      </c>
      <c r="H145" s="1">
        <v>38.5</v>
      </c>
      <c r="I145" s="5">
        <f t="shared" si="8"/>
        <v>81209.736842105267</v>
      </c>
      <c r="J145" s="1"/>
      <c r="K145" s="1" t="s">
        <v>25</v>
      </c>
      <c r="L145" s="1"/>
      <c r="M145" s="4">
        <f t="shared" si="6"/>
        <v>81209.736842105267</v>
      </c>
      <c r="N145" s="2">
        <v>699</v>
      </c>
    </row>
    <row r="146" spans="1:14" x14ac:dyDescent="0.4">
      <c r="A146" s="1">
        <v>100145</v>
      </c>
      <c r="B146" s="1"/>
      <c r="C146" s="1"/>
      <c r="D146" s="1"/>
      <c r="E146" s="1"/>
      <c r="F146" s="1"/>
      <c r="G146" s="1">
        <v>6.5</v>
      </c>
      <c r="H146" s="1">
        <v>39</v>
      </c>
      <c r="I146" s="5">
        <f t="shared" si="8"/>
        <v>60478.157894736847</v>
      </c>
      <c r="J146" s="1"/>
      <c r="K146" s="1" t="s">
        <v>25</v>
      </c>
      <c r="L146" s="1"/>
      <c r="M146" s="4">
        <f t="shared" si="6"/>
        <v>60478.157894736847</v>
      </c>
      <c r="N146" s="2">
        <v>439</v>
      </c>
    </row>
    <row r="147" spans="1:14" x14ac:dyDescent="0.4">
      <c r="A147" s="1">
        <v>100146</v>
      </c>
      <c r="B147" s="1"/>
      <c r="C147" s="1"/>
      <c r="D147" s="1"/>
      <c r="E147" s="1"/>
      <c r="F147" s="1"/>
      <c r="G147" s="1">
        <v>7</v>
      </c>
      <c r="H147" s="1">
        <v>40</v>
      </c>
      <c r="I147" s="5">
        <f t="shared" si="8"/>
        <v>84478.947368421053</v>
      </c>
      <c r="J147" s="1"/>
      <c r="K147" s="1" t="s">
        <v>32</v>
      </c>
      <c r="L147" s="1"/>
      <c r="M147" s="4">
        <f t="shared" si="6"/>
        <v>84478.947368421053</v>
      </c>
      <c r="N147" s="2">
        <v>740</v>
      </c>
    </row>
    <row r="148" spans="1:14" x14ac:dyDescent="0.4">
      <c r="A148" s="1">
        <v>100147</v>
      </c>
      <c r="B148" s="1"/>
      <c r="C148" s="1"/>
      <c r="D148" s="1"/>
      <c r="E148" s="1"/>
      <c r="F148" s="1"/>
      <c r="G148" s="1">
        <v>7.5</v>
      </c>
      <c r="H148" s="1">
        <v>40.5</v>
      </c>
      <c r="I148" s="5">
        <f t="shared" si="8"/>
        <v>58086.052631578947</v>
      </c>
      <c r="J148" s="1"/>
      <c r="K148" s="1" t="s">
        <v>25</v>
      </c>
      <c r="L148" s="1"/>
      <c r="M148" s="4">
        <f t="shared" si="6"/>
        <v>58086.052631578947</v>
      </c>
      <c r="N148" s="2">
        <v>409</v>
      </c>
    </row>
    <row r="149" spans="1:14" x14ac:dyDescent="0.4">
      <c r="A149" s="1">
        <v>100148</v>
      </c>
      <c r="B149" s="1"/>
      <c r="C149" s="1"/>
      <c r="D149" s="1"/>
      <c r="E149" s="1"/>
      <c r="F149" s="1"/>
      <c r="G149" s="1">
        <v>8</v>
      </c>
      <c r="H149" s="1">
        <v>41</v>
      </c>
      <c r="I149" s="5">
        <f t="shared" si="8"/>
        <v>56491.315789473687</v>
      </c>
      <c r="J149" s="1"/>
      <c r="K149" s="1" t="s">
        <v>25</v>
      </c>
      <c r="L149" s="1"/>
      <c r="M149" s="4">
        <f t="shared" si="6"/>
        <v>56491.315789473687</v>
      </c>
      <c r="N149" s="2">
        <v>389</v>
      </c>
    </row>
    <row r="150" spans="1:14" x14ac:dyDescent="0.4">
      <c r="A150" s="1">
        <v>100149</v>
      </c>
      <c r="B150" s="1"/>
      <c r="C150" s="1"/>
      <c r="D150" s="1"/>
      <c r="E150" s="1"/>
      <c r="F150" s="1"/>
      <c r="G150" s="1">
        <v>8.5</v>
      </c>
      <c r="H150" s="1">
        <v>42</v>
      </c>
      <c r="I150" s="5">
        <f t="shared" si="8"/>
        <v>56491.315789473687</v>
      </c>
      <c r="J150" s="1"/>
      <c r="K150" s="1" t="s">
        <v>25</v>
      </c>
      <c r="L150" s="1"/>
      <c r="M150" s="4">
        <f t="shared" si="6"/>
        <v>56491.315789473687</v>
      </c>
      <c r="N150" s="2">
        <v>389</v>
      </c>
    </row>
    <row r="151" spans="1:14" x14ac:dyDescent="0.4">
      <c r="A151" s="1">
        <v>100150</v>
      </c>
      <c r="B151" s="1"/>
      <c r="C151" s="1"/>
      <c r="D151" s="1"/>
      <c r="E151" s="1"/>
      <c r="F151" s="1"/>
      <c r="G151" s="1">
        <v>9</v>
      </c>
      <c r="H151" s="1">
        <v>42.5</v>
      </c>
      <c r="I151" s="5">
        <f t="shared" si="8"/>
        <v>57288.68421052632</v>
      </c>
      <c r="J151" s="1"/>
      <c r="K151" s="1" t="s">
        <v>25</v>
      </c>
      <c r="L151" s="1"/>
      <c r="M151" s="4">
        <f t="shared" si="6"/>
        <v>57288.68421052632</v>
      </c>
      <c r="N151" s="2">
        <v>399</v>
      </c>
    </row>
    <row r="152" spans="1:14" x14ac:dyDescent="0.4">
      <c r="A152" s="1">
        <v>100151</v>
      </c>
      <c r="B152" s="1"/>
      <c r="C152" s="1"/>
      <c r="D152" s="1"/>
      <c r="E152" s="1"/>
      <c r="F152" s="1"/>
      <c r="G152" s="1">
        <v>9.5</v>
      </c>
      <c r="H152" s="1">
        <v>43</v>
      </c>
      <c r="I152" s="5">
        <f t="shared" si="8"/>
        <v>58086.052631578947</v>
      </c>
      <c r="J152" s="1"/>
      <c r="K152" s="1" t="s">
        <v>25</v>
      </c>
      <c r="L152" s="1"/>
      <c r="M152" s="4">
        <f t="shared" si="6"/>
        <v>58086.052631578947</v>
      </c>
      <c r="N152" s="2">
        <v>409</v>
      </c>
    </row>
    <row r="153" spans="1:14" x14ac:dyDescent="0.4">
      <c r="A153" s="1">
        <v>100152</v>
      </c>
      <c r="B153" s="1"/>
      <c r="C153" s="1"/>
      <c r="D153" s="1"/>
      <c r="E153" s="1"/>
      <c r="F153" s="1"/>
      <c r="G153" s="1">
        <v>10</v>
      </c>
      <c r="H153" s="1">
        <v>44</v>
      </c>
      <c r="I153" s="5">
        <f t="shared" si="8"/>
        <v>60478.157894736847</v>
      </c>
      <c r="J153" s="1"/>
      <c r="K153" s="1" t="s">
        <v>25</v>
      </c>
      <c r="L153" s="1"/>
      <c r="M153" s="4">
        <f t="shared" si="6"/>
        <v>60478.157894736847</v>
      </c>
      <c r="N153" s="2">
        <v>439</v>
      </c>
    </row>
    <row r="154" spans="1:14" x14ac:dyDescent="0.4">
      <c r="A154" s="1">
        <v>100153</v>
      </c>
      <c r="B154" s="1"/>
      <c r="C154" s="1"/>
      <c r="D154" s="1"/>
      <c r="E154" s="1"/>
      <c r="F154" s="1"/>
      <c r="G154" s="1">
        <v>10.5</v>
      </c>
      <c r="H154" s="1">
        <v>44.5</v>
      </c>
      <c r="I154" s="5">
        <f t="shared" si="8"/>
        <v>63587.894736842107</v>
      </c>
      <c r="J154" s="1"/>
      <c r="K154" s="1" t="s">
        <v>25</v>
      </c>
      <c r="L154" s="1"/>
      <c r="M154" s="4">
        <f t="shared" si="6"/>
        <v>63587.894736842107</v>
      </c>
      <c r="N154" s="2">
        <v>478</v>
      </c>
    </row>
    <row r="155" spans="1:14" ht="262.3" x14ac:dyDescent="0.4">
      <c r="A155" s="1">
        <v>100154</v>
      </c>
      <c r="B155" s="1"/>
      <c r="C155" s="1" t="s">
        <v>77</v>
      </c>
      <c r="D155" s="1" t="s">
        <v>6</v>
      </c>
      <c r="E155" s="1" t="s">
        <v>43</v>
      </c>
      <c r="F155" s="1" t="s">
        <v>78</v>
      </c>
      <c r="G155" s="1">
        <v>6</v>
      </c>
      <c r="H155" s="1">
        <v>38.5</v>
      </c>
      <c r="I155" s="5">
        <f t="shared" si="8"/>
        <v>89183.421052631587</v>
      </c>
      <c r="J155" s="1"/>
      <c r="K155" s="1" t="s">
        <v>25</v>
      </c>
      <c r="L155" s="9" t="s">
        <v>79</v>
      </c>
      <c r="M155" s="4">
        <f t="shared" si="6"/>
        <v>89183.421052631587</v>
      </c>
      <c r="N155" s="2">
        <v>799</v>
      </c>
    </row>
    <row r="156" spans="1:14" x14ac:dyDescent="0.4">
      <c r="A156" s="1">
        <v>100155</v>
      </c>
      <c r="B156" s="1"/>
      <c r="C156" s="1"/>
      <c r="D156" s="1"/>
      <c r="E156" s="1"/>
      <c r="F156" s="1"/>
      <c r="G156" s="1">
        <v>6.5</v>
      </c>
      <c r="H156" s="1">
        <v>39</v>
      </c>
      <c r="I156" s="5">
        <f t="shared" si="8"/>
        <v>97157.105263157893</v>
      </c>
      <c r="J156" s="1"/>
      <c r="K156" s="1" t="s">
        <v>25</v>
      </c>
      <c r="L156" s="1"/>
      <c r="M156" s="4">
        <f t="shared" si="6"/>
        <v>97157.105263157893</v>
      </c>
      <c r="N156" s="2">
        <v>899</v>
      </c>
    </row>
    <row r="157" spans="1:14" x14ac:dyDescent="0.4">
      <c r="A157" s="1">
        <v>100156</v>
      </c>
      <c r="B157" s="1"/>
      <c r="C157" s="1"/>
      <c r="D157" s="1"/>
      <c r="E157" s="1"/>
      <c r="F157" s="1"/>
      <c r="G157" s="1">
        <v>7</v>
      </c>
      <c r="H157" s="1">
        <v>40</v>
      </c>
      <c r="I157" s="5">
        <f t="shared" si="8"/>
        <v>74830.789473684214</v>
      </c>
      <c r="J157" s="1"/>
      <c r="K157" s="1" t="s">
        <v>25</v>
      </c>
      <c r="L157" s="1"/>
      <c r="M157" s="4">
        <f t="shared" si="6"/>
        <v>74830.789473684214</v>
      </c>
      <c r="N157" s="2">
        <v>619</v>
      </c>
    </row>
    <row r="158" spans="1:14" x14ac:dyDescent="0.4">
      <c r="A158" s="1">
        <v>100157</v>
      </c>
      <c r="B158" s="1"/>
      <c r="C158" s="1"/>
      <c r="D158" s="1"/>
      <c r="E158" s="1"/>
      <c r="F158" s="1"/>
      <c r="G158" s="1">
        <v>7.5</v>
      </c>
      <c r="H158" s="1">
        <v>40.5</v>
      </c>
      <c r="I158" s="5">
        <f t="shared" si="8"/>
        <v>74033.421052631587</v>
      </c>
      <c r="J158" s="1"/>
      <c r="K158" s="1" t="s">
        <v>25</v>
      </c>
      <c r="L158" s="1"/>
      <c r="M158" s="4">
        <f t="shared" si="6"/>
        <v>74033.421052631587</v>
      </c>
      <c r="N158" s="2">
        <v>609</v>
      </c>
    </row>
    <row r="159" spans="1:14" x14ac:dyDescent="0.4">
      <c r="A159" s="1">
        <v>100158</v>
      </c>
      <c r="B159" s="1"/>
      <c r="C159" s="1"/>
      <c r="D159" s="1"/>
      <c r="E159" s="1"/>
      <c r="F159" s="1"/>
      <c r="G159" s="1">
        <v>8</v>
      </c>
      <c r="H159" s="1">
        <v>41</v>
      </c>
      <c r="I159" s="5">
        <f t="shared" si="8"/>
        <v>74033.421052631587</v>
      </c>
      <c r="J159" s="1"/>
      <c r="K159" s="1" t="s">
        <v>25</v>
      </c>
      <c r="L159" s="1"/>
      <c r="M159" s="4">
        <f t="shared" ref="M159:M222" si="9">(N159*75+N159*75*0.01+15000+4200+5000)/0.95</f>
        <v>74033.421052631587</v>
      </c>
      <c r="N159" s="2">
        <v>609</v>
      </c>
    </row>
    <row r="160" spans="1:14" x14ac:dyDescent="0.4">
      <c r="A160" s="1">
        <v>100159</v>
      </c>
      <c r="B160" s="1"/>
      <c r="C160" s="1"/>
      <c r="D160" s="1"/>
      <c r="E160" s="1"/>
      <c r="F160" s="1"/>
      <c r="G160" s="1">
        <v>8.5</v>
      </c>
      <c r="H160" s="1">
        <v>42</v>
      </c>
      <c r="I160" s="5">
        <f t="shared" si="8"/>
        <v>90778.15789473684</v>
      </c>
      <c r="J160" s="1"/>
      <c r="K160" s="1" t="s">
        <v>25</v>
      </c>
      <c r="L160" s="1"/>
      <c r="M160" s="4">
        <f t="shared" si="9"/>
        <v>90778.15789473684</v>
      </c>
      <c r="N160" s="2">
        <v>819</v>
      </c>
    </row>
    <row r="161" spans="1:14" x14ac:dyDescent="0.4">
      <c r="A161" s="1">
        <v>100160</v>
      </c>
      <c r="B161" s="1"/>
      <c r="C161" s="1"/>
      <c r="D161" s="1"/>
      <c r="E161" s="1"/>
      <c r="F161" s="1"/>
      <c r="G161" s="1">
        <v>9</v>
      </c>
      <c r="H161" s="1">
        <v>42.5</v>
      </c>
      <c r="I161" s="5">
        <f t="shared" si="8"/>
        <v>94765</v>
      </c>
      <c r="J161" s="1"/>
      <c r="K161" s="1" t="s">
        <v>25</v>
      </c>
      <c r="L161" s="1"/>
      <c r="M161" s="4">
        <f t="shared" si="9"/>
        <v>94765</v>
      </c>
      <c r="N161" s="2">
        <v>869</v>
      </c>
    </row>
    <row r="162" spans="1:14" x14ac:dyDescent="0.4">
      <c r="A162" s="1">
        <v>100161</v>
      </c>
      <c r="B162" s="1"/>
      <c r="C162" s="1"/>
      <c r="D162" s="1"/>
      <c r="E162" s="1"/>
      <c r="F162" s="1"/>
      <c r="G162" s="1">
        <v>9.5</v>
      </c>
      <c r="H162" s="1">
        <v>43</v>
      </c>
      <c r="I162" s="5">
        <f t="shared" si="8"/>
        <v>63587.894736842107</v>
      </c>
      <c r="J162" s="1"/>
      <c r="K162" s="1" t="s">
        <v>32</v>
      </c>
      <c r="L162" s="1"/>
      <c r="M162" s="4">
        <f t="shared" si="9"/>
        <v>63587.894736842107</v>
      </c>
      <c r="N162" s="2">
        <v>478</v>
      </c>
    </row>
    <row r="163" spans="1:14" x14ac:dyDescent="0.4">
      <c r="A163" s="1">
        <v>100162</v>
      </c>
      <c r="B163" s="1"/>
      <c r="C163" s="1"/>
      <c r="D163" s="1"/>
      <c r="E163" s="1"/>
      <c r="F163" s="1"/>
      <c r="G163" s="1">
        <v>10</v>
      </c>
      <c r="H163" s="1">
        <v>44</v>
      </c>
      <c r="I163" s="5">
        <f t="shared" si="8"/>
        <v>63587.894736842107</v>
      </c>
      <c r="J163" s="1"/>
      <c r="K163" s="1" t="s">
        <v>32</v>
      </c>
      <c r="L163" s="1"/>
      <c r="M163" s="4">
        <f t="shared" si="9"/>
        <v>63587.894736842107</v>
      </c>
      <c r="N163" s="2">
        <v>478</v>
      </c>
    </row>
    <row r="164" spans="1:14" x14ac:dyDescent="0.4">
      <c r="A164" s="1">
        <v>100163</v>
      </c>
      <c r="B164" s="1"/>
      <c r="C164" s="1"/>
      <c r="D164" s="1"/>
      <c r="E164" s="1"/>
      <c r="F164" s="1"/>
      <c r="G164" s="1">
        <v>10.5</v>
      </c>
      <c r="H164" s="1">
        <v>44.5</v>
      </c>
      <c r="I164" s="5">
        <f t="shared" si="8"/>
        <v>63587.894736842107</v>
      </c>
      <c r="J164" s="1"/>
      <c r="K164" s="1" t="s">
        <v>32</v>
      </c>
      <c r="L164" s="1"/>
      <c r="M164" s="4">
        <f t="shared" si="9"/>
        <v>63587.894736842107</v>
      </c>
      <c r="N164" s="2">
        <v>478</v>
      </c>
    </row>
    <row r="165" spans="1:14" x14ac:dyDescent="0.4">
      <c r="A165" s="1">
        <v>100164</v>
      </c>
      <c r="B165" s="1"/>
      <c r="C165" s="1" t="s">
        <v>80</v>
      </c>
      <c r="D165" s="1" t="s">
        <v>6</v>
      </c>
      <c r="E165" s="1" t="s">
        <v>43</v>
      </c>
      <c r="F165" s="1" t="s">
        <v>81</v>
      </c>
      <c r="G165" s="1">
        <v>6.5</v>
      </c>
      <c r="H165" s="1">
        <v>39</v>
      </c>
      <c r="I165" s="5">
        <f t="shared" si="8"/>
        <v>63587.894736842107</v>
      </c>
      <c r="J165" s="1"/>
      <c r="K165" s="1" t="s">
        <v>32</v>
      </c>
      <c r="L165" s="1"/>
      <c r="M165" s="4">
        <f t="shared" si="9"/>
        <v>63587.894736842107</v>
      </c>
      <c r="N165" s="2">
        <v>478</v>
      </c>
    </row>
    <row r="166" spans="1:14" x14ac:dyDescent="0.4">
      <c r="A166" s="1">
        <v>100165</v>
      </c>
      <c r="B166" s="1"/>
      <c r="C166" s="1"/>
      <c r="D166" s="1"/>
      <c r="E166" s="1"/>
      <c r="F166" s="1"/>
      <c r="G166" s="1">
        <v>7</v>
      </c>
      <c r="H166" s="1">
        <v>40</v>
      </c>
      <c r="I166" s="5">
        <f t="shared" si="8"/>
        <v>63587.894736842107</v>
      </c>
      <c r="J166" s="1"/>
      <c r="K166" s="1" t="s">
        <v>32</v>
      </c>
      <c r="L166" s="1"/>
      <c r="M166" s="4">
        <f t="shared" si="9"/>
        <v>63587.894736842107</v>
      </c>
      <c r="N166" s="2">
        <v>478</v>
      </c>
    </row>
    <row r="167" spans="1:14" x14ac:dyDescent="0.4">
      <c r="A167" s="1">
        <v>100166</v>
      </c>
      <c r="B167" s="1"/>
      <c r="C167" s="1"/>
      <c r="D167" s="1"/>
      <c r="E167" s="1"/>
      <c r="F167" s="1"/>
      <c r="G167" s="1">
        <v>7.5</v>
      </c>
      <c r="H167" s="1">
        <v>40.5</v>
      </c>
      <c r="I167" s="5">
        <f t="shared" si="8"/>
        <v>63587.894736842107</v>
      </c>
      <c r="J167" s="1"/>
      <c r="K167" s="1" t="s">
        <v>32</v>
      </c>
      <c r="L167" s="1"/>
      <c r="M167" s="4">
        <f t="shared" si="9"/>
        <v>63587.894736842107</v>
      </c>
      <c r="N167" s="2">
        <v>478</v>
      </c>
    </row>
    <row r="168" spans="1:14" x14ac:dyDescent="0.4">
      <c r="A168" s="1">
        <v>100167</v>
      </c>
      <c r="B168" s="1"/>
      <c r="C168" s="1"/>
      <c r="D168" s="1"/>
      <c r="E168" s="1"/>
      <c r="F168" s="1"/>
      <c r="G168" s="1">
        <v>8</v>
      </c>
      <c r="H168" s="1">
        <v>41</v>
      </c>
      <c r="I168" s="5">
        <f t="shared" si="8"/>
        <v>63587.894736842107</v>
      </c>
      <c r="J168" s="1"/>
      <c r="K168" s="1" t="s">
        <v>32</v>
      </c>
      <c r="L168" s="1"/>
      <c r="M168" s="4">
        <f t="shared" si="9"/>
        <v>63587.894736842107</v>
      </c>
      <c r="N168" s="2">
        <v>478</v>
      </c>
    </row>
    <row r="169" spans="1:14" x14ac:dyDescent="0.4">
      <c r="A169" s="1">
        <v>100168</v>
      </c>
      <c r="B169" s="1"/>
      <c r="C169" s="1"/>
      <c r="D169" s="1"/>
      <c r="E169" s="1"/>
      <c r="F169" s="1"/>
      <c r="G169" s="1">
        <v>8.5</v>
      </c>
      <c r="H169" s="1">
        <v>42</v>
      </c>
      <c r="I169" s="5">
        <f t="shared" si="8"/>
        <v>63587.894736842107</v>
      </c>
      <c r="J169" s="1"/>
      <c r="K169" s="1" t="s">
        <v>32</v>
      </c>
      <c r="L169" s="1"/>
      <c r="M169" s="4">
        <f t="shared" si="9"/>
        <v>63587.894736842107</v>
      </c>
      <c r="N169" s="2">
        <v>478</v>
      </c>
    </row>
    <row r="170" spans="1:14" x14ac:dyDescent="0.4">
      <c r="A170" s="1">
        <v>100169</v>
      </c>
      <c r="B170" s="1"/>
      <c r="C170" s="1"/>
      <c r="D170" s="1"/>
      <c r="E170" s="1"/>
      <c r="F170" s="1"/>
      <c r="G170" s="1">
        <v>9</v>
      </c>
      <c r="H170" s="1">
        <v>42.5</v>
      </c>
      <c r="I170" s="5">
        <f t="shared" si="8"/>
        <v>63587.894736842107</v>
      </c>
      <c r="J170" s="1"/>
      <c r="K170" s="1" t="s">
        <v>32</v>
      </c>
      <c r="L170" s="1"/>
      <c r="M170" s="4">
        <f t="shared" si="9"/>
        <v>63587.894736842107</v>
      </c>
      <c r="N170" s="2">
        <v>478</v>
      </c>
    </row>
    <row r="171" spans="1:14" x14ac:dyDescent="0.4">
      <c r="A171" s="1">
        <v>100170</v>
      </c>
      <c r="B171" s="1"/>
      <c r="C171" s="1"/>
      <c r="D171" s="1"/>
      <c r="E171" s="1"/>
      <c r="F171" s="1"/>
      <c r="G171" s="1">
        <v>9.5</v>
      </c>
      <c r="H171" s="1">
        <v>43</v>
      </c>
      <c r="I171" s="5">
        <f t="shared" si="8"/>
        <v>63587.894736842107</v>
      </c>
      <c r="J171" s="1"/>
      <c r="K171" s="1" t="s">
        <v>32</v>
      </c>
      <c r="L171" s="1"/>
      <c r="M171" s="4">
        <f t="shared" si="9"/>
        <v>63587.894736842107</v>
      </c>
      <c r="N171" s="2">
        <v>478</v>
      </c>
    </row>
    <row r="172" spans="1:14" x14ac:dyDescent="0.4">
      <c r="A172" s="1">
        <v>100171</v>
      </c>
      <c r="B172" s="1"/>
      <c r="C172" s="1"/>
      <c r="D172" s="1"/>
      <c r="E172" s="1"/>
      <c r="F172" s="1"/>
      <c r="G172" s="1">
        <v>10</v>
      </c>
      <c r="H172" s="1">
        <v>44</v>
      </c>
      <c r="I172" s="5">
        <f t="shared" si="8"/>
        <v>63587.894736842107</v>
      </c>
      <c r="J172" s="1"/>
      <c r="K172" s="1" t="s">
        <v>32</v>
      </c>
      <c r="L172" s="1"/>
      <c r="M172" s="4">
        <f t="shared" si="9"/>
        <v>63587.894736842107</v>
      </c>
      <c r="N172" s="2">
        <v>478</v>
      </c>
    </row>
    <row r="173" spans="1:14" x14ac:dyDescent="0.4">
      <c r="A173" s="1">
        <v>100172</v>
      </c>
      <c r="B173" s="1"/>
      <c r="C173" s="1"/>
      <c r="D173" s="1"/>
      <c r="E173" s="1"/>
      <c r="F173" s="1"/>
      <c r="G173" s="1">
        <v>10.5</v>
      </c>
      <c r="H173" s="1">
        <v>44.5</v>
      </c>
      <c r="I173" s="5">
        <f t="shared" si="8"/>
        <v>63587.894736842107</v>
      </c>
      <c r="J173" s="1"/>
      <c r="K173" s="1" t="s">
        <v>32</v>
      </c>
      <c r="L173" s="1"/>
      <c r="M173" s="4">
        <f t="shared" si="9"/>
        <v>63587.894736842107</v>
      </c>
      <c r="N173" s="2">
        <v>478</v>
      </c>
    </row>
    <row r="174" spans="1:14" ht="189.45" x14ac:dyDescent="0.4">
      <c r="A174" s="1">
        <v>100173</v>
      </c>
      <c r="B174" s="1"/>
      <c r="C174" s="1" t="s">
        <v>82</v>
      </c>
      <c r="D174" s="1" t="s">
        <v>38</v>
      </c>
      <c r="E174" s="1" t="s">
        <v>13</v>
      </c>
      <c r="F174" s="1" t="s">
        <v>83</v>
      </c>
      <c r="G174" s="1">
        <v>3.5</v>
      </c>
      <c r="H174" s="1">
        <v>35.5</v>
      </c>
      <c r="I174" s="5">
        <f t="shared" si="8"/>
        <v>65262.368421052633</v>
      </c>
      <c r="J174" s="1"/>
      <c r="K174" s="1" t="s">
        <v>25</v>
      </c>
      <c r="L174" s="9" t="s">
        <v>84</v>
      </c>
      <c r="M174" s="4">
        <f t="shared" si="9"/>
        <v>65262.368421052633</v>
      </c>
      <c r="N174" s="2">
        <v>499</v>
      </c>
    </row>
    <row r="175" spans="1:14" x14ac:dyDescent="0.4">
      <c r="A175" s="1">
        <v>100174</v>
      </c>
      <c r="B175" s="1"/>
      <c r="C175" s="1"/>
      <c r="D175" s="1"/>
      <c r="E175" s="1"/>
      <c r="F175" s="1"/>
      <c r="G175" s="1">
        <v>4</v>
      </c>
      <c r="H175" s="1">
        <v>36</v>
      </c>
      <c r="I175" s="5">
        <f t="shared" si="8"/>
        <v>64465</v>
      </c>
      <c r="J175" s="1"/>
      <c r="K175" s="1" t="s">
        <v>25</v>
      </c>
      <c r="L175" s="1"/>
      <c r="M175" s="4">
        <f t="shared" si="9"/>
        <v>64465</v>
      </c>
      <c r="N175" s="2">
        <v>489</v>
      </c>
    </row>
    <row r="176" spans="1:14" x14ac:dyDescent="0.4">
      <c r="A176" s="1">
        <v>100175</v>
      </c>
      <c r="B176" s="1"/>
      <c r="C176" s="1"/>
      <c r="D176" s="1"/>
      <c r="E176" s="1"/>
      <c r="F176" s="1"/>
      <c r="G176" s="1">
        <v>4.5</v>
      </c>
      <c r="H176" s="1">
        <v>36.5</v>
      </c>
      <c r="I176" s="5">
        <f t="shared" si="8"/>
        <v>63667.631578947374</v>
      </c>
      <c r="J176" s="1"/>
      <c r="K176" s="1" t="s">
        <v>25</v>
      </c>
      <c r="L176" s="1"/>
      <c r="M176" s="4">
        <f t="shared" si="9"/>
        <v>63667.631578947374</v>
      </c>
      <c r="N176" s="2">
        <v>479</v>
      </c>
    </row>
    <row r="177" spans="1:14" x14ac:dyDescent="0.4">
      <c r="A177" s="1">
        <v>100176</v>
      </c>
      <c r="B177" s="1"/>
      <c r="C177" s="1"/>
      <c r="D177" s="1"/>
      <c r="E177" s="1"/>
      <c r="F177" s="1"/>
      <c r="G177" s="1">
        <v>5</v>
      </c>
      <c r="H177" s="1">
        <v>37.5</v>
      </c>
      <c r="I177" s="5">
        <f t="shared" si="8"/>
        <v>66059.736842105267</v>
      </c>
      <c r="J177" s="1"/>
      <c r="K177" s="1" t="s">
        <v>25</v>
      </c>
      <c r="L177" s="1"/>
      <c r="M177" s="4">
        <f t="shared" si="9"/>
        <v>66059.736842105267</v>
      </c>
      <c r="N177" s="2">
        <v>509</v>
      </c>
    </row>
    <row r="178" spans="1:14" x14ac:dyDescent="0.4">
      <c r="A178" s="1">
        <v>100177</v>
      </c>
      <c r="B178" s="1"/>
      <c r="C178" s="1"/>
      <c r="D178" s="1"/>
      <c r="E178" s="1"/>
      <c r="F178" s="1"/>
      <c r="G178" s="1">
        <v>5.5</v>
      </c>
      <c r="H178" s="1">
        <v>38</v>
      </c>
      <c r="I178" s="5">
        <f t="shared" si="8"/>
        <v>66059.736842105267</v>
      </c>
      <c r="J178" s="1"/>
      <c r="K178" s="1" t="s">
        <v>25</v>
      </c>
      <c r="L178" s="1"/>
      <c r="M178" s="4">
        <f t="shared" si="9"/>
        <v>66059.736842105267</v>
      </c>
      <c r="N178" s="2">
        <v>509</v>
      </c>
    </row>
    <row r="179" spans="1:14" x14ac:dyDescent="0.4">
      <c r="A179" s="1">
        <v>100178</v>
      </c>
      <c r="B179" s="1"/>
      <c r="C179" s="1"/>
      <c r="D179" s="1"/>
      <c r="E179" s="1"/>
      <c r="F179" s="1"/>
      <c r="G179" s="1">
        <v>6</v>
      </c>
      <c r="H179" s="1">
        <v>38.5</v>
      </c>
      <c r="I179" s="5">
        <f t="shared" si="8"/>
        <v>66857.105263157893</v>
      </c>
      <c r="J179" s="1"/>
      <c r="K179" s="1" t="s">
        <v>25</v>
      </c>
      <c r="L179" s="1"/>
      <c r="M179" s="4">
        <f t="shared" si="9"/>
        <v>66857.105263157893</v>
      </c>
      <c r="N179" s="2">
        <v>519</v>
      </c>
    </row>
    <row r="180" spans="1:14" x14ac:dyDescent="0.4">
      <c r="A180" s="1">
        <v>100179</v>
      </c>
      <c r="B180" s="1"/>
      <c r="C180" s="1"/>
      <c r="D180" s="1"/>
      <c r="E180" s="1"/>
      <c r="F180" s="1"/>
      <c r="G180" s="1">
        <v>6.5</v>
      </c>
      <c r="H180" s="1">
        <v>39</v>
      </c>
      <c r="I180" s="5">
        <f t="shared" si="8"/>
        <v>69249.210526315786</v>
      </c>
      <c r="J180" s="1"/>
      <c r="K180" s="1" t="s">
        <v>25</v>
      </c>
      <c r="L180" s="1"/>
      <c r="M180" s="4">
        <f t="shared" si="9"/>
        <v>69249.210526315786</v>
      </c>
      <c r="N180" s="2">
        <v>549</v>
      </c>
    </row>
    <row r="181" spans="1:14" x14ac:dyDescent="0.4">
      <c r="A181" s="1">
        <v>100180</v>
      </c>
      <c r="B181" s="1"/>
      <c r="C181" s="1"/>
      <c r="D181" s="1"/>
      <c r="E181" s="1"/>
      <c r="F181" s="1"/>
      <c r="G181" s="1">
        <v>7</v>
      </c>
      <c r="H181" s="1">
        <v>40</v>
      </c>
      <c r="I181" s="5">
        <f t="shared" si="8"/>
        <v>71641.315789473694</v>
      </c>
      <c r="J181" s="1"/>
      <c r="K181" s="1" t="s">
        <v>25</v>
      </c>
      <c r="L181" s="1"/>
      <c r="M181" s="4">
        <f t="shared" si="9"/>
        <v>71641.315789473694</v>
      </c>
      <c r="N181" s="2">
        <v>579</v>
      </c>
    </row>
    <row r="182" spans="1:14" x14ac:dyDescent="0.4">
      <c r="A182" s="1">
        <v>100181</v>
      </c>
      <c r="B182" s="1"/>
      <c r="C182" s="1"/>
      <c r="D182" s="1"/>
      <c r="E182" s="1"/>
      <c r="F182" s="1"/>
      <c r="G182" s="1">
        <v>7.5</v>
      </c>
      <c r="H182" s="1">
        <v>40.5</v>
      </c>
      <c r="I182" s="5">
        <f t="shared" si="8"/>
        <v>71641.315789473694</v>
      </c>
      <c r="J182" s="1"/>
      <c r="K182" s="1" t="s">
        <v>25</v>
      </c>
      <c r="L182" s="1"/>
      <c r="M182" s="4">
        <f t="shared" si="9"/>
        <v>71641.315789473694</v>
      </c>
      <c r="N182" s="2">
        <v>579</v>
      </c>
    </row>
    <row r="183" spans="1:14" x14ac:dyDescent="0.4">
      <c r="A183" s="1">
        <v>100182</v>
      </c>
      <c r="B183" s="1"/>
      <c r="C183" s="1"/>
      <c r="D183" s="1"/>
      <c r="E183" s="1"/>
      <c r="F183" s="1"/>
      <c r="G183" s="1">
        <v>8</v>
      </c>
      <c r="H183" s="1">
        <v>41</v>
      </c>
      <c r="I183" s="5">
        <f t="shared" si="8"/>
        <v>75628.15789473684</v>
      </c>
      <c r="J183" s="1"/>
      <c r="K183" s="1" t="s">
        <v>25</v>
      </c>
      <c r="L183" s="1"/>
      <c r="M183" s="4">
        <f t="shared" si="9"/>
        <v>75628.15789473684</v>
      </c>
      <c r="N183" s="2">
        <v>629</v>
      </c>
    </row>
    <row r="184" spans="1:14" x14ac:dyDescent="0.4">
      <c r="A184" s="1">
        <v>100183</v>
      </c>
      <c r="B184" s="1"/>
      <c r="C184" s="1"/>
      <c r="D184" s="1"/>
      <c r="E184" s="1"/>
      <c r="F184" s="1"/>
      <c r="G184" s="1">
        <v>8.5</v>
      </c>
      <c r="H184" s="1">
        <v>42</v>
      </c>
      <c r="I184" s="5">
        <f t="shared" si="8"/>
        <v>77222.894736842107</v>
      </c>
      <c r="J184" s="1"/>
      <c r="K184" s="1" t="s">
        <v>25</v>
      </c>
      <c r="L184" s="1"/>
      <c r="M184" s="4">
        <f t="shared" si="9"/>
        <v>77222.894736842107</v>
      </c>
      <c r="N184" s="2">
        <v>649</v>
      </c>
    </row>
    <row r="185" spans="1:14" x14ac:dyDescent="0.4">
      <c r="A185" s="1">
        <v>100184</v>
      </c>
      <c r="B185" s="1"/>
      <c r="C185" s="1"/>
      <c r="D185" s="1"/>
      <c r="E185" s="1"/>
      <c r="F185" s="1"/>
      <c r="G185" s="1">
        <v>9</v>
      </c>
      <c r="H185" s="1">
        <v>42.5</v>
      </c>
      <c r="I185" s="5">
        <f t="shared" si="8"/>
        <v>76425.526315789481</v>
      </c>
      <c r="J185" s="1"/>
      <c r="K185" s="1" t="s">
        <v>25</v>
      </c>
      <c r="L185" s="1"/>
      <c r="M185" s="4">
        <f t="shared" si="9"/>
        <v>76425.526315789481</v>
      </c>
      <c r="N185" s="2">
        <v>639</v>
      </c>
    </row>
    <row r="186" spans="1:14" x14ac:dyDescent="0.4">
      <c r="A186" s="1">
        <v>100185</v>
      </c>
      <c r="B186" s="1"/>
      <c r="C186" s="1"/>
      <c r="D186" s="1"/>
      <c r="E186" s="1"/>
      <c r="F186" s="1"/>
      <c r="G186" s="1">
        <v>9.5</v>
      </c>
      <c r="H186" s="1">
        <v>43</v>
      </c>
      <c r="I186" s="5">
        <f t="shared" si="8"/>
        <v>77222.894736842107</v>
      </c>
      <c r="J186" s="1"/>
      <c r="K186" s="1" t="s">
        <v>25</v>
      </c>
      <c r="L186" s="1"/>
      <c r="M186" s="4">
        <f t="shared" si="9"/>
        <v>77222.894736842107</v>
      </c>
      <c r="N186" s="2">
        <v>649</v>
      </c>
    </row>
    <row r="187" spans="1:14" x14ac:dyDescent="0.4">
      <c r="A187" s="1">
        <v>100186</v>
      </c>
      <c r="B187" s="1"/>
      <c r="C187" s="1"/>
      <c r="D187" s="1"/>
      <c r="E187" s="1"/>
      <c r="F187" s="1"/>
      <c r="G187" s="1">
        <v>10</v>
      </c>
      <c r="H187" s="1">
        <v>44</v>
      </c>
      <c r="I187" s="5">
        <f t="shared" si="8"/>
        <v>74033.421052631587</v>
      </c>
      <c r="J187" s="1"/>
      <c r="K187" s="1" t="s">
        <v>25</v>
      </c>
      <c r="L187" s="1"/>
      <c r="M187" s="4">
        <f t="shared" si="9"/>
        <v>74033.421052631587</v>
      </c>
      <c r="N187" s="2">
        <v>609</v>
      </c>
    </row>
    <row r="188" spans="1:14" x14ac:dyDescent="0.4">
      <c r="A188" s="1">
        <v>100187</v>
      </c>
      <c r="B188" s="1"/>
      <c r="C188" s="1"/>
      <c r="D188" s="1"/>
      <c r="E188" s="1"/>
      <c r="F188" s="1"/>
      <c r="G188" s="1">
        <v>10.5</v>
      </c>
      <c r="H188" s="1">
        <v>44.5</v>
      </c>
      <c r="I188" s="5">
        <f t="shared" si="8"/>
        <v>74033.421052631587</v>
      </c>
      <c r="J188" s="1"/>
      <c r="K188" s="1" t="s">
        <v>25</v>
      </c>
      <c r="L188" s="1"/>
      <c r="M188" s="4">
        <f t="shared" si="9"/>
        <v>74033.421052631587</v>
      </c>
      <c r="N188" s="2">
        <v>609</v>
      </c>
    </row>
    <row r="189" spans="1:14" ht="189.45" x14ac:dyDescent="0.4">
      <c r="A189" s="1">
        <v>100188</v>
      </c>
      <c r="B189" s="1"/>
      <c r="C189" s="1"/>
      <c r="D189" s="1" t="s">
        <v>38</v>
      </c>
      <c r="E189" s="1" t="s">
        <v>43</v>
      </c>
      <c r="F189" s="1" t="s">
        <v>85</v>
      </c>
      <c r="G189" s="1">
        <v>3.5</v>
      </c>
      <c r="H189" s="1">
        <v>35.5</v>
      </c>
      <c r="I189" s="5">
        <f t="shared" si="8"/>
        <v>86791.315789473694</v>
      </c>
      <c r="J189" s="1"/>
      <c r="K189" s="1" t="s">
        <v>25</v>
      </c>
      <c r="L189" s="9" t="s">
        <v>84</v>
      </c>
      <c r="M189" s="4">
        <f t="shared" si="9"/>
        <v>86791.315789473694</v>
      </c>
      <c r="N189" s="2">
        <v>769</v>
      </c>
    </row>
    <row r="190" spans="1:14" x14ac:dyDescent="0.4">
      <c r="A190" s="1">
        <v>100189</v>
      </c>
      <c r="B190" s="1"/>
      <c r="C190" s="1"/>
      <c r="D190" s="1"/>
      <c r="E190" s="1"/>
      <c r="F190" s="1"/>
      <c r="G190" s="1">
        <v>4</v>
      </c>
      <c r="H190" s="1">
        <v>36</v>
      </c>
      <c r="I190" s="5">
        <f t="shared" si="8"/>
        <v>73236.052631578947</v>
      </c>
      <c r="J190" s="1"/>
      <c r="K190" s="1" t="s">
        <v>25</v>
      </c>
      <c r="L190" s="1"/>
      <c r="M190" s="4">
        <f t="shared" si="9"/>
        <v>73236.052631578947</v>
      </c>
      <c r="N190" s="2">
        <v>599</v>
      </c>
    </row>
    <row r="191" spans="1:14" x14ac:dyDescent="0.4">
      <c r="A191" s="1">
        <v>100190</v>
      </c>
      <c r="B191" s="1"/>
      <c r="C191" s="1"/>
      <c r="D191" s="1"/>
      <c r="E191" s="1"/>
      <c r="F191" s="1"/>
      <c r="G191" s="1">
        <v>4.5</v>
      </c>
      <c r="H191" s="1">
        <v>36.5</v>
      </c>
      <c r="I191" s="5">
        <f t="shared" si="8"/>
        <v>66857.105263157893</v>
      </c>
      <c r="J191" s="1"/>
      <c r="K191" s="1" t="s">
        <v>25</v>
      </c>
      <c r="L191" s="1"/>
      <c r="M191" s="4">
        <f t="shared" si="9"/>
        <v>66857.105263157893</v>
      </c>
      <c r="N191" s="2">
        <v>519</v>
      </c>
    </row>
    <row r="192" spans="1:14" x14ac:dyDescent="0.4">
      <c r="A192" s="1">
        <v>100191</v>
      </c>
      <c r="B192" s="1"/>
      <c r="C192" s="1"/>
      <c r="D192" s="1"/>
      <c r="E192" s="1"/>
      <c r="F192" s="1"/>
      <c r="G192" s="1">
        <v>5</v>
      </c>
      <c r="H192" s="1">
        <v>37.5</v>
      </c>
      <c r="I192" s="5">
        <f t="shared" si="8"/>
        <v>66857.105263157893</v>
      </c>
      <c r="J192" s="1"/>
      <c r="K192" s="1" t="s">
        <v>25</v>
      </c>
      <c r="L192" s="1"/>
      <c r="M192" s="4">
        <f t="shared" si="9"/>
        <v>66857.105263157893</v>
      </c>
      <c r="N192" s="2">
        <v>519</v>
      </c>
    </row>
    <row r="193" spans="1:14" x14ac:dyDescent="0.4">
      <c r="A193" s="1">
        <v>100192</v>
      </c>
      <c r="B193" s="1"/>
      <c r="C193" s="1"/>
      <c r="D193" s="1"/>
      <c r="E193" s="1"/>
      <c r="F193" s="1"/>
      <c r="G193" s="1">
        <v>5.5</v>
      </c>
      <c r="H193" s="1">
        <v>38</v>
      </c>
      <c r="I193" s="5">
        <f t="shared" si="8"/>
        <v>66857.105263157893</v>
      </c>
      <c r="J193" s="1"/>
      <c r="K193" s="1" t="s">
        <v>25</v>
      </c>
      <c r="L193" s="1"/>
      <c r="M193" s="4">
        <f t="shared" si="9"/>
        <v>66857.105263157893</v>
      </c>
      <c r="N193" s="2">
        <v>519</v>
      </c>
    </row>
    <row r="194" spans="1:14" x14ac:dyDescent="0.4">
      <c r="A194" s="1">
        <v>100193</v>
      </c>
      <c r="B194" s="1"/>
      <c r="C194" s="1"/>
      <c r="D194" s="1"/>
      <c r="E194" s="1"/>
      <c r="F194" s="1"/>
      <c r="G194" s="1">
        <v>6</v>
      </c>
      <c r="H194" s="1">
        <v>38.5</v>
      </c>
      <c r="I194" s="5">
        <f t="shared" si="8"/>
        <v>67654.473684210534</v>
      </c>
      <c r="J194" s="1"/>
      <c r="K194" s="1" t="s">
        <v>25</v>
      </c>
      <c r="L194" s="1"/>
      <c r="M194" s="4">
        <f t="shared" si="9"/>
        <v>67654.473684210534</v>
      </c>
      <c r="N194" s="2">
        <v>529</v>
      </c>
    </row>
    <row r="195" spans="1:14" x14ac:dyDescent="0.4">
      <c r="A195" s="1">
        <v>100194</v>
      </c>
      <c r="B195" s="1"/>
      <c r="C195" s="1"/>
      <c r="D195" s="1"/>
      <c r="E195" s="1"/>
      <c r="F195" s="1"/>
      <c r="G195" s="1">
        <v>6.5</v>
      </c>
      <c r="H195" s="1">
        <v>39</v>
      </c>
      <c r="I195" s="5">
        <f t="shared" si="8"/>
        <v>73236.052631578947</v>
      </c>
      <c r="J195" s="1"/>
      <c r="K195" s="1" t="s">
        <v>25</v>
      </c>
      <c r="L195" s="1"/>
      <c r="M195" s="4">
        <f t="shared" si="9"/>
        <v>73236.052631578947</v>
      </c>
      <c r="N195" s="2">
        <v>599</v>
      </c>
    </row>
    <row r="196" spans="1:14" x14ac:dyDescent="0.4">
      <c r="A196" s="1">
        <v>100195</v>
      </c>
      <c r="B196" s="1"/>
      <c r="C196" s="1"/>
      <c r="D196" s="1"/>
      <c r="E196" s="1"/>
      <c r="F196" s="1"/>
      <c r="G196" s="1">
        <v>7</v>
      </c>
      <c r="H196" s="1">
        <v>40</v>
      </c>
      <c r="I196" s="5">
        <f t="shared" si="8"/>
        <v>71641.315789473694</v>
      </c>
      <c r="J196" s="1"/>
      <c r="K196" s="1" t="s">
        <v>25</v>
      </c>
      <c r="L196" s="1"/>
      <c r="M196" s="4">
        <f t="shared" si="9"/>
        <v>71641.315789473694</v>
      </c>
      <c r="N196" s="2">
        <v>579</v>
      </c>
    </row>
    <row r="197" spans="1:14" x14ac:dyDescent="0.4">
      <c r="A197" s="1">
        <v>100196</v>
      </c>
      <c r="B197" s="1"/>
      <c r="C197" s="1"/>
      <c r="D197" s="1"/>
      <c r="E197" s="1"/>
      <c r="F197" s="1"/>
      <c r="G197" s="1">
        <v>7.5</v>
      </c>
      <c r="H197" s="1">
        <v>40.5</v>
      </c>
      <c r="I197" s="5">
        <f t="shared" si="8"/>
        <v>72438.68421052632</v>
      </c>
      <c r="J197" s="1"/>
      <c r="K197" s="1" t="s">
        <v>25</v>
      </c>
      <c r="L197" s="1"/>
      <c r="M197" s="4">
        <f t="shared" si="9"/>
        <v>72438.68421052632</v>
      </c>
      <c r="N197" s="2">
        <v>589</v>
      </c>
    </row>
    <row r="198" spans="1:14" x14ac:dyDescent="0.4">
      <c r="A198" s="1">
        <v>100197</v>
      </c>
      <c r="B198" s="1"/>
      <c r="C198" s="1"/>
      <c r="D198" s="1"/>
      <c r="E198" s="1"/>
      <c r="F198" s="1"/>
      <c r="G198" s="1">
        <v>8</v>
      </c>
      <c r="H198" s="1">
        <v>41</v>
      </c>
      <c r="I198" s="5">
        <f t="shared" si="8"/>
        <v>74830.789473684214</v>
      </c>
      <c r="J198" s="1"/>
      <c r="K198" s="1" t="s">
        <v>25</v>
      </c>
      <c r="L198" s="1"/>
      <c r="M198" s="4">
        <f t="shared" si="9"/>
        <v>74830.789473684214</v>
      </c>
      <c r="N198" s="2">
        <v>619</v>
      </c>
    </row>
    <row r="199" spans="1:14" x14ac:dyDescent="0.4">
      <c r="A199" s="1">
        <v>100198</v>
      </c>
      <c r="B199" s="1"/>
      <c r="C199" s="1"/>
      <c r="D199" s="1"/>
      <c r="E199" s="1"/>
      <c r="F199" s="1"/>
      <c r="G199" s="1">
        <v>8.5</v>
      </c>
      <c r="H199" s="1">
        <v>42</v>
      </c>
      <c r="I199" s="5">
        <f t="shared" si="8"/>
        <v>74033.421052631587</v>
      </c>
      <c r="J199" s="1"/>
      <c r="K199" s="1" t="s">
        <v>25</v>
      </c>
      <c r="L199" s="1"/>
      <c r="M199" s="4">
        <f t="shared" si="9"/>
        <v>74033.421052631587</v>
      </c>
      <c r="N199" s="2">
        <v>609</v>
      </c>
    </row>
    <row r="200" spans="1:14" x14ac:dyDescent="0.4">
      <c r="A200" s="1">
        <v>100199</v>
      </c>
      <c r="B200" s="1"/>
      <c r="C200" s="1"/>
      <c r="D200" s="1"/>
      <c r="E200" s="1"/>
      <c r="F200" s="1"/>
      <c r="G200" s="1">
        <v>9</v>
      </c>
      <c r="H200" s="1">
        <v>42.5</v>
      </c>
      <c r="I200" s="5">
        <f t="shared" si="8"/>
        <v>74830.789473684214</v>
      </c>
      <c r="J200" s="1"/>
      <c r="K200" s="1" t="s">
        <v>25</v>
      </c>
      <c r="L200" s="1"/>
      <c r="M200" s="4">
        <f t="shared" si="9"/>
        <v>74830.789473684214</v>
      </c>
      <c r="N200" s="2">
        <v>619</v>
      </c>
    </row>
    <row r="201" spans="1:14" x14ac:dyDescent="0.4">
      <c r="A201" s="1">
        <v>100200</v>
      </c>
      <c r="B201" s="1"/>
      <c r="C201" s="1"/>
      <c r="D201" s="1"/>
      <c r="E201" s="1"/>
      <c r="F201" s="1"/>
      <c r="G201" s="1">
        <v>9.5</v>
      </c>
      <c r="H201" s="1">
        <v>43</v>
      </c>
      <c r="I201" s="5">
        <f t="shared" si="8"/>
        <v>77222.894736842107</v>
      </c>
      <c r="J201" s="1"/>
      <c r="K201" s="1" t="s">
        <v>25</v>
      </c>
      <c r="L201" s="1"/>
      <c r="M201" s="4">
        <f t="shared" si="9"/>
        <v>77222.894736842107</v>
      </c>
      <c r="N201" s="2">
        <v>649</v>
      </c>
    </row>
    <row r="202" spans="1:14" x14ac:dyDescent="0.4">
      <c r="A202" s="1">
        <v>100201</v>
      </c>
      <c r="B202" s="1"/>
      <c r="C202" s="1"/>
      <c r="D202" s="1"/>
      <c r="E202" s="1"/>
      <c r="F202" s="1"/>
      <c r="G202" s="1">
        <v>10</v>
      </c>
      <c r="H202" s="1">
        <v>44</v>
      </c>
      <c r="I202" s="5">
        <f t="shared" ref="I202:I256" si="10">M202</f>
        <v>72438.68421052632</v>
      </c>
      <c r="J202" s="1"/>
      <c r="K202" s="1" t="s">
        <v>25</v>
      </c>
      <c r="L202" s="1"/>
      <c r="M202" s="4">
        <f t="shared" si="9"/>
        <v>72438.68421052632</v>
      </c>
      <c r="N202" s="2">
        <v>589</v>
      </c>
    </row>
    <row r="203" spans="1:14" x14ac:dyDescent="0.4">
      <c r="A203" s="1">
        <v>100202</v>
      </c>
      <c r="B203" s="1"/>
      <c r="C203" s="1"/>
      <c r="D203" s="1"/>
      <c r="E203" s="1"/>
      <c r="F203" s="1"/>
      <c r="G203" s="1">
        <v>10.5</v>
      </c>
      <c r="H203" s="1">
        <v>44.5</v>
      </c>
      <c r="I203" s="5">
        <f t="shared" si="10"/>
        <v>74033.421052631587</v>
      </c>
      <c r="J203" s="1"/>
      <c r="K203" s="1" t="s">
        <v>25</v>
      </c>
      <c r="L203" s="1"/>
      <c r="M203" s="4">
        <f t="shared" si="9"/>
        <v>74033.421052631587</v>
      </c>
      <c r="N203" s="2">
        <v>609</v>
      </c>
    </row>
    <row r="204" spans="1:14" ht="189.45" x14ac:dyDescent="0.4">
      <c r="A204" s="1">
        <v>100203</v>
      </c>
      <c r="B204" s="1"/>
      <c r="C204" s="1"/>
      <c r="D204" s="1" t="s">
        <v>38</v>
      </c>
      <c r="E204" s="1" t="s">
        <v>86</v>
      </c>
      <c r="F204" s="1" t="s">
        <v>87</v>
      </c>
      <c r="G204" s="1">
        <v>3.5</v>
      </c>
      <c r="H204" s="1">
        <v>35.5</v>
      </c>
      <c r="I204" s="5">
        <f t="shared" si="10"/>
        <v>62072.894736842107</v>
      </c>
      <c r="J204" s="1"/>
      <c r="K204" s="1" t="s">
        <v>25</v>
      </c>
      <c r="L204" s="9" t="s">
        <v>84</v>
      </c>
      <c r="M204" s="4">
        <f t="shared" si="9"/>
        <v>62072.894736842107</v>
      </c>
      <c r="N204" s="2">
        <v>459</v>
      </c>
    </row>
    <row r="205" spans="1:14" x14ac:dyDescent="0.4">
      <c r="A205" s="1">
        <v>100204</v>
      </c>
      <c r="B205" s="1"/>
      <c r="C205" s="1"/>
      <c r="D205" s="1"/>
      <c r="E205" s="1"/>
      <c r="F205" s="1"/>
      <c r="G205" s="1">
        <v>4</v>
      </c>
      <c r="H205" s="1">
        <v>36</v>
      </c>
      <c r="I205" s="5">
        <f t="shared" si="10"/>
        <v>74033.421052631587</v>
      </c>
      <c r="J205" s="1"/>
      <c r="K205" s="1" t="s">
        <v>25</v>
      </c>
      <c r="L205" s="1"/>
      <c r="M205" s="4">
        <f t="shared" si="9"/>
        <v>74033.421052631587</v>
      </c>
      <c r="N205" s="2">
        <v>609</v>
      </c>
    </row>
    <row r="206" spans="1:14" x14ac:dyDescent="0.4">
      <c r="A206" s="1">
        <v>100205</v>
      </c>
      <c r="B206" s="1"/>
      <c r="C206" s="1"/>
      <c r="D206" s="1"/>
      <c r="E206" s="1"/>
      <c r="F206" s="1"/>
      <c r="G206" s="1">
        <v>4.5</v>
      </c>
      <c r="H206" s="1">
        <v>36.5</v>
      </c>
      <c r="I206" s="5">
        <f t="shared" si="10"/>
        <v>74033.421052631587</v>
      </c>
      <c r="J206" s="1"/>
      <c r="K206" s="1" t="s">
        <v>25</v>
      </c>
      <c r="L206" s="1"/>
      <c r="M206" s="4">
        <f t="shared" si="9"/>
        <v>74033.421052631587</v>
      </c>
      <c r="N206" s="2">
        <v>609</v>
      </c>
    </row>
    <row r="207" spans="1:14" x14ac:dyDescent="0.4">
      <c r="A207" s="1">
        <v>100206</v>
      </c>
      <c r="B207" s="1"/>
      <c r="C207" s="1"/>
      <c r="D207" s="1"/>
      <c r="E207" s="1"/>
      <c r="F207" s="1"/>
      <c r="G207" s="1">
        <v>5</v>
      </c>
      <c r="H207" s="1">
        <v>37.5</v>
      </c>
      <c r="I207" s="5">
        <f t="shared" si="10"/>
        <v>74033.421052631587</v>
      </c>
      <c r="J207" s="1"/>
      <c r="K207" s="1" t="s">
        <v>25</v>
      </c>
      <c r="L207" s="1"/>
      <c r="M207" s="4">
        <f t="shared" si="9"/>
        <v>74033.421052631587</v>
      </c>
      <c r="N207" s="2">
        <v>609</v>
      </c>
    </row>
    <row r="208" spans="1:14" x14ac:dyDescent="0.4">
      <c r="A208" s="1">
        <v>100207</v>
      </c>
      <c r="B208" s="1"/>
      <c r="C208" s="1"/>
      <c r="D208" s="1"/>
      <c r="E208" s="1"/>
      <c r="F208" s="1"/>
      <c r="G208" s="1">
        <v>5.5</v>
      </c>
      <c r="H208" s="1">
        <v>38</v>
      </c>
      <c r="I208" s="5">
        <f t="shared" si="10"/>
        <v>74033.421052631587</v>
      </c>
      <c r="J208" s="1"/>
      <c r="K208" s="1" t="s">
        <v>25</v>
      </c>
      <c r="L208" s="1"/>
      <c r="M208" s="4">
        <f t="shared" si="9"/>
        <v>74033.421052631587</v>
      </c>
      <c r="N208" s="2">
        <v>609</v>
      </c>
    </row>
    <row r="209" spans="1:14" x14ac:dyDescent="0.4">
      <c r="A209" s="1">
        <v>100208</v>
      </c>
      <c r="B209" s="1"/>
      <c r="C209" s="1"/>
      <c r="D209" s="1"/>
      <c r="E209" s="1"/>
      <c r="F209" s="1"/>
      <c r="G209" s="1">
        <v>6</v>
      </c>
      <c r="H209" s="1">
        <v>38.5</v>
      </c>
      <c r="I209" s="5">
        <f t="shared" si="10"/>
        <v>74033.421052631587</v>
      </c>
      <c r="J209" s="1"/>
      <c r="K209" s="1" t="s">
        <v>25</v>
      </c>
      <c r="L209" s="1"/>
      <c r="M209" s="4">
        <f t="shared" si="9"/>
        <v>74033.421052631587</v>
      </c>
      <c r="N209" s="2">
        <v>609</v>
      </c>
    </row>
    <row r="210" spans="1:14" x14ac:dyDescent="0.4">
      <c r="A210" s="1">
        <v>100209</v>
      </c>
      <c r="B210" s="1"/>
      <c r="C210" s="1"/>
      <c r="D210" s="1"/>
      <c r="E210" s="1"/>
      <c r="F210" s="1"/>
      <c r="G210" s="1">
        <v>6.5</v>
      </c>
      <c r="H210" s="1">
        <v>39</v>
      </c>
      <c r="I210" s="5">
        <f t="shared" si="10"/>
        <v>74033.421052631587</v>
      </c>
      <c r="J210" s="1"/>
      <c r="K210" s="1" t="s">
        <v>25</v>
      </c>
      <c r="L210" s="1"/>
      <c r="M210" s="4">
        <f t="shared" si="9"/>
        <v>74033.421052631587</v>
      </c>
      <c r="N210" s="2">
        <v>609</v>
      </c>
    </row>
    <row r="211" spans="1:14" x14ac:dyDescent="0.4">
      <c r="A211" s="1">
        <v>100210</v>
      </c>
      <c r="B211" s="1"/>
      <c r="C211" s="1"/>
      <c r="D211" s="1"/>
      <c r="E211" s="1"/>
      <c r="F211" s="1"/>
      <c r="G211" s="1">
        <v>7</v>
      </c>
      <c r="H211" s="1">
        <v>40</v>
      </c>
      <c r="I211" s="5">
        <f t="shared" si="10"/>
        <v>74033.421052631587</v>
      </c>
      <c r="J211" s="1"/>
      <c r="K211" s="1" t="s">
        <v>25</v>
      </c>
      <c r="L211" s="1"/>
      <c r="M211" s="4">
        <f t="shared" si="9"/>
        <v>74033.421052631587</v>
      </c>
      <c r="N211" s="2">
        <v>609</v>
      </c>
    </row>
    <row r="212" spans="1:14" x14ac:dyDescent="0.4">
      <c r="A212" s="1">
        <v>100211</v>
      </c>
      <c r="B212" s="1"/>
      <c r="C212" s="1"/>
      <c r="D212" s="1"/>
      <c r="E212" s="1"/>
      <c r="F212" s="1"/>
      <c r="G212" s="1">
        <v>7.5</v>
      </c>
      <c r="H212" s="1">
        <v>40.5</v>
      </c>
      <c r="I212" s="5">
        <f t="shared" si="10"/>
        <v>74033.421052631587</v>
      </c>
      <c r="J212" s="1"/>
      <c r="K212" s="1" t="s">
        <v>25</v>
      </c>
      <c r="L212" s="1"/>
      <c r="M212" s="4">
        <f t="shared" si="9"/>
        <v>74033.421052631587</v>
      </c>
      <c r="N212" s="2">
        <v>609</v>
      </c>
    </row>
    <row r="213" spans="1:14" x14ac:dyDescent="0.4">
      <c r="A213" s="1">
        <v>100212</v>
      </c>
      <c r="B213" s="1"/>
      <c r="C213" s="1"/>
      <c r="D213" s="1"/>
      <c r="E213" s="1"/>
      <c r="F213" s="1"/>
      <c r="G213" s="1">
        <v>8</v>
      </c>
      <c r="H213" s="1">
        <v>41</v>
      </c>
      <c r="I213" s="5">
        <f t="shared" si="10"/>
        <v>74033.421052631587</v>
      </c>
      <c r="J213" s="1"/>
      <c r="K213" s="1" t="s">
        <v>25</v>
      </c>
      <c r="L213" s="1"/>
      <c r="M213" s="4">
        <f t="shared" si="9"/>
        <v>74033.421052631587</v>
      </c>
      <c r="N213" s="2">
        <v>609</v>
      </c>
    </row>
    <row r="214" spans="1:14" x14ac:dyDescent="0.4">
      <c r="A214" s="1">
        <v>100213</v>
      </c>
      <c r="B214" s="1"/>
      <c r="C214" s="1"/>
      <c r="D214" s="1"/>
      <c r="E214" s="1"/>
      <c r="F214" s="1"/>
      <c r="G214" s="1">
        <v>8.5</v>
      </c>
      <c r="H214" s="1">
        <v>42</v>
      </c>
      <c r="I214" s="5">
        <f t="shared" si="10"/>
        <v>74033.421052631587</v>
      </c>
      <c r="J214" s="1"/>
      <c r="K214" s="1" t="s">
        <v>25</v>
      </c>
      <c r="L214" s="1"/>
      <c r="M214" s="4">
        <f t="shared" si="9"/>
        <v>74033.421052631587</v>
      </c>
      <c r="N214" s="2">
        <v>609</v>
      </c>
    </row>
    <row r="215" spans="1:14" x14ac:dyDescent="0.4">
      <c r="A215" s="1">
        <v>100214</v>
      </c>
      <c r="B215" s="1"/>
      <c r="C215" s="1"/>
      <c r="D215" s="1"/>
      <c r="E215" s="1"/>
      <c r="F215" s="1"/>
      <c r="G215" s="1">
        <v>9</v>
      </c>
      <c r="H215" s="1">
        <v>42.5</v>
      </c>
      <c r="I215" s="5">
        <f t="shared" si="10"/>
        <v>74033.421052631587</v>
      </c>
      <c r="J215" s="1"/>
      <c r="K215" s="1" t="s">
        <v>25</v>
      </c>
      <c r="L215" s="1"/>
      <c r="M215" s="4">
        <f t="shared" si="9"/>
        <v>74033.421052631587</v>
      </c>
      <c r="N215" s="2">
        <v>609</v>
      </c>
    </row>
    <row r="216" spans="1:14" x14ac:dyDescent="0.4">
      <c r="A216" s="1">
        <v>100215</v>
      </c>
      <c r="B216" s="1"/>
      <c r="C216" s="1"/>
      <c r="D216" s="1"/>
      <c r="E216" s="1"/>
      <c r="F216" s="1"/>
      <c r="G216" s="1">
        <v>9.5</v>
      </c>
      <c r="H216" s="1">
        <v>43</v>
      </c>
      <c r="I216" s="5">
        <f t="shared" si="10"/>
        <v>74033.421052631587</v>
      </c>
      <c r="J216" s="1"/>
      <c r="K216" s="1" t="s">
        <v>25</v>
      </c>
      <c r="L216" s="1"/>
      <c r="M216" s="4">
        <f t="shared" si="9"/>
        <v>74033.421052631587</v>
      </c>
      <c r="N216" s="2">
        <v>609</v>
      </c>
    </row>
    <row r="217" spans="1:14" x14ac:dyDescent="0.4">
      <c r="A217" s="1">
        <v>100216</v>
      </c>
      <c r="B217" s="1"/>
      <c r="C217" s="1"/>
      <c r="D217" s="1"/>
      <c r="E217" s="1"/>
      <c r="F217" s="1"/>
      <c r="G217" s="1">
        <v>10</v>
      </c>
      <c r="H217" s="1">
        <v>44</v>
      </c>
      <c r="I217" s="5">
        <f t="shared" si="10"/>
        <v>74033.421052631587</v>
      </c>
      <c r="J217" s="1"/>
      <c r="K217" s="1" t="s">
        <v>25</v>
      </c>
      <c r="L217" s="1"/>
      <c r="M217" s="4">
        <f t="shared" si="9"/>
        <v>74033.421052631587</v>
      </c>
      <c r="N217" s="2">
        <v>609</v>
      </c>
    </row>
    <row r="218" spans="1:14" x14ac:dyDescent="0.4">
      <c r="A218" s="1">
        <v>100217</v>
      </c>
      <c r="B218" s="1"/>
      <c r="C218" s="1"/>
      <c r="D218" s="1"/>
      <c r="E218" s="1"/>
      <c r="F218" s="1"/>
      <c r="G218" s="1">
        <v>10.5</v>
      </c>
      <c r="H218" s="1">
        <v>44.5</v>
      </c>
      <c r="I218" s="5">
        <f t="shared" si="10"/>
        <v>74033.421052631587</v>
      </c>
      <c r="J218" s="1"/>
      <c r="K218" s="1" t="s">
        <v>25</v>
      </c>
      <c r="L218" s="1"/>
      <c r="M218" s="4">
        <f t="shared" si="9"/>
        <v>74033.421052631587</v>
      </c>
      <c r="N218" s="2">
        <v>609</v>
      </c>
    </row>
    <row r="219" spans="1:14" ht="160.30000000000001" x14ac:dyDescent="0.4">
      <c r="A219" s="1">
        <v>100218</v>
      </c>
      <c r="B219" s="1"/>
      <c r="C219" s="1" t="s">
        <v>90</v>
      </c>
      <c r="D219" s="1" t="s">
        <v>38</v>
      </c>
      <c r="E219" s="1" t="s">
        <v>62</v>
      </c>
      <c r="F219" s="1" t="s">
        <v>88</v>
      </c>
      <c r="G219" s="1">
        <v>3.5</v>
      </c>
      <c r="H219" s="1">
        <v>35.5</v>
      </c>
      <c r="I219" s="5">
        <f t="shared" si="10"/>
        <v>88386.052631578947</v>
      </c>
      <c r="J219" s="1"/>
      <c r="K219" s="1" t="s">
        <v>25</v>
      </c>
      <c r="L219" s="9" t="s">
        <v>89</v>
      </c>
      <c r="M219" s="4">
        <f t="shared" si="9"/>
        <v>88386.052631578947</v>
      </c>
      <c r="N219" s="2">
        <v>789</v>
      </c>
    </row>
    <row r="220" spans="1:14" x14ac:dyDescent="0.4">
      <c r="A220" s="1">
        <v>100219</v>
      </c>
      <c r="B220" s="1"/>
      <c r="C220" s="1"/>
      <c r="D220" s="1"/>
      <c r="E220" s="1"/>
      <c r="F220" s="1"/>
      <c r="G220" s="1">
        <v>4</v>
      </c>
      <c r="H220" s="1">
        <v>36</v>
      </c>
      <c r="I220" s="5">
        <f t="shared" si="10"/>
        <v>60478.157894736847</v>
      </c>
      <c r="J220" s="1"/>
      <c r="K220" s="1" t="s">
        <v>25</v>
      </c>
      <c r="L220" s="1"/>
      <c r="M220" s="4">
        <f t="shared" si="9"/>
        <v>60478.157894736847</v>
      </c>
      <c r="N220" s="2">
        <v>439</v>
      </c>
    </row>
    <row r="221" spans="1:14" x14ac:dyDescent="0.4">
      <c r="A221" s="1">
        <v>100220</v>
      </c>
      <c r="B221" s="1"/>
      <c r="C221" s="1"/>
      <c r="D221" s="1"/>
      <c r="E221" s="1"/>
      <c r="F221" s="1"/>
      <c r="G221" s="1">
        <v>4.5</v>
      </c>
      <c r="H221" s="1">
        <v>36.5</v>
      </c>
      <c r="I221" s="5">
        <f t="shared" si="10"/>
        <v>66059.736842105267</v>
      </c>
      <c r="J221" s="1"/>
      <c r="K221" s="1" t="s">
        <v>25</v>
      </c>
      <c r="L221" s="1"/>
      <c r="M221" s="4">
        <f t="shared" si="9"/>
        <v>66059.736842105267</v>
      </c>
      <c r="N221" s="2">
        <v>509</v>
      </c>
    </row>
    <row r="222" spans="1:14" x14ac:dyDescent="0.4">
      <c r="A222" s="1">
        <v>100221</v>
      </c>
      <c r="B222" s="1"/>
      <c r="C222" s="1"/>
      <c r="D222" s="1"/>
      <c r="E222" s="1"/>
      <c r="F222" s="1"/>
      <c r="G222" s="1">
        <v>5</v>
      </c>
      <c r="H222" s="1">
        <v>37.5</v>
      </c>
      <c r="I222" s="5">
        <f t="shared" si="10"/>
        <v>65262.368421052633</v>
      </c>
      <c r="J222" s="1"/>
      <c r="K222" s="1" t="s">
        <v>25</v>
      </c>
      <c r="L222" s="1"/>
      <c r="M222" s="4">
        <f t="shared" si="9"/>
        <v>65262.368421052633</v>
      </c>
      <c r="N222" s="2">
        <v>499</v>
      </c>
    </row>
    <row r="223" spans="1:14" x14ac:dyDescent="0.4">
      <c r="A223" s="1">
        <v>100222</v>
      </c>
      <c r="B223" s="1"/>
      <c r="C223" s="1"/>
      <c r="D223" s="1"/>
      <c r="E223" s="1"/>
      <c r="F223" s="1"/>
      <c r="G223" s="1">
        <v>5.5</v>
      </c>
      <c r="H223" s="1">
        <v>38</v>
      </c>
      <c r="I223" s="5">
        <f t="shared" si="10"/>
        <v>67654.473684210534</v>
      </c>
      <c r="J223" s="1"/>
      <c r="K223" s="1" t="s">
        <v>25</v>
      </c>
      <c r="L223" s="1"/>
      <c r="M223" s="4">
        <f t="shared" ref="M223:M286" si="11">(N223*75+N223*75*0.01+15000+4200+5000)/0.95</f>
        <v>67654.473684210534</v>
      </c>
      <c r="N223" s="2">
        <v>529</v>
      </c>
    </row>
    <row r="224" spans="1:14" x14ac:dyDescent="0.4">
      <c r="A224" s="1">
        <v>100223</v>
      </c>
      <c r="B224" s="1"/>
      <c r="C224" s="1"/>
      <c r="D224" s="1"/>
      <c r="E224" s="1"/>
      <c r="F224" s="1"/>
      <c r="G224" s="1">
        <v>6</v>
      </c>
      <c r="H224" s="1">
        <v>38.5</v>
      </c>
      <c r="I224" s="5">
        <f t="shared" si="10"/>
        <v>78020.263157894748</v>
      </c>
      <c r="J224" s="1"/>
      <c r="K224" s="1" t="s">
        <v>25</v>
      </c>
      <c r="L224" s="1"/>
      <c r="M224" s="4">
        <f t="shared" si="11"/>
        <v>78020.263157894748</v>
      </c>
      <c r="N224" s="2">
        <v>659</v>
      </c>
    </row>
    <row r="225" spans="1:14" x14ac:dyDescent="0.4">
      <c r="A225" s="1">
        <v>100224</v>
      </c>
      <c r="B225" s="1"/>
      <c r="C225" s="1"/>
      <c r="D225" s="1"/>
      <c r="E225" s="1"/>
      <c r="F225" s="1"/>
      <c r="G225" s="1">
        <v>6.5</v>
      </c>
      <c r="H225" s="1">
        <v>39</v>
      </c>
      <c r="I225" s="5">
        <f t="shared" si="10"/>
        <v>89183.421052631587</v>
      </c>
      <c r="J225" s="1"/>
      <c r="K225" s="1" t="s">
        <v>25</v>
      </c>
      <c r="L225" s="1"/>
      <c r="M225" s="4">
        <f t="shared" si="11"/>
        <v>89183.421052631587</v>
      </c>
      <c r="N225" s="2">
        <v>799</v>
      </c>
    </row>
    <row r="226" spans="1:14" x14ac:dyDescent="0.4">
      <c r="A226" s="1">
        <v>100225</v>
      </c>
      <c r="B226" s="1"/>
      <c r="C226" s="1"/>
      <c r="D226" s="1"/>
      <c r="E226" s="1"/>
      <c r="F226" s="1"/>
      <c r="G226" s="1">
        <v>7</v>
      </c>
      <c r="H226" s="1">
        <v>40</v>
      </c>
      <c r="I226" s="5">
        <f t="shared" si="10"/>
        <v>112307.10526315789</v>
      </c>
      <c r="J226" s="1"/>
      <c r="K226" s="1" t="s">
        <v>25</v>
      </c>
      <c r="L226" s="1"/>
      <c r="M226" s="4">
        <f t="shared" si="11"/>
        <v>112307.10526315789</v>
      </c>
      <c r="N226" s="2">
        <v>1089</v>
      </c>
    </row>
    <row r="227" spans="1:14" x14ac:dyDescent="0.4">
      <c r="A227" s="1">
        <v>100226</v>
      </c>
      <c r="B227" s="1"/>
      <c r="C227" s="1"/>
      <c r="D227" s="1"/>
      <c r="E227" s="1"/>
      <c r="F227" s="1"/>
      <c r="G227" s="1">
        <v>7.5</v>
      </c>
      <c r="H227" s="1">
        <v>40.5</v>
      </c>
      <c r="I227" s="5">
        <f t="shared" si="10"/>
        <v>101143.94736842105</v>
      </c>
      <c r="J227" s="1"/>
      <c r="K227" s="1" t="s">
        <v>25</v>
      </c>
      <c r="L227" s="1"/>
      <c r="M227" s="4">
        <f t="shared" si="11"/>
        <v>101143.94736842105</v>
      </c>
      <c r="N227" s="2">
        <v>949</v>
      </c>
    </row>
    <row r="228" spans="1:14" x14ac:dyDescent="0.4">
      <c r="A228" s="1">
        <v>100227</v>
      </c>
      <c r="B228" s="1"/>
      <c r="C228" s="1"/>
      <c r="D228" s="1"/>
      <c r="E228" s="1"/>
      <c r="F228" s="1"/>
      <c r="G228" s="1">
        <v>8</v>
      </c>
      <c r="H228" s="1">
        <v>41</v>
      </c>
      <c r="I228" s="5">
        <f t="shared" si="10"/>
        <v>100346.57894736843</v>
      </c>
      <c r="J228" s="1"/>
      <c r="K228" s="1" t="s">
        <v>25</v>
      </c>
      <c r="L228" s="1"/>
      <c r="M228" s="4">
        <f t="shared" si="11"/>
        <v>100346.57894736843</v>
      </c>
      <c r="N228" s="2">
        <v>939</v>
      </c>
    </row>
    <row r="229" spans="1:14" x14ac:dyDescent="0.4">
      <c r="A229" s="1">
        <v>100228</v>
      </c>
      <c r="B229" s="1"/>
      <c r="C229" s="1"/>
      <c r="D229" s="1"/>
      <c r="E229" s="1"/>
      <c r="F229" s="1"/>
      <c r="G229" s="1">
        <v>8.5</v>
      </c>
      <c r="H229" s="1">
        <v>42</v>
      </c>
      <c r="I229" s="5">
        <f t="shared" si="10"/>
        <v>101143.94736842105</v>
      </c>
      <c r="J229" s="1"/>
      <c r="K229" s="1" t="s">
        <v>25</v>
      </c>
      <c r="L229" s="1"/>
      <c r="M229" s="4">
        <f t="shared" si="11"/>
        <v>101143.94736842105</v>
      </c>
      <c r="N229" s="2">
        <v>949</v>
      </c>
    </row>
    <row r="230" spans="1:14" x14ac:dyDescent="0.4">
      <c r="A230" s="1">
        <v>100229</v>
      </c>
      <c r="B230" s="1"/>
      <c r="C230" s="1"/>
      <c r="D230" s="1"/>
      <c r="E230" s="1"/>
      <c r="F230" s="1"/>
      <c r="G230" s="1">
        <v>9</v>
      </c>
      <c r="H230" s="1">
        <v>42.5</v>
      </c>
      <c r="I230" s="5">
        <f t="shared" si="10"/>
        <v>97954.473684210534</v>
      </c>
      <c r="J230" s="1"/>
      <c r="K230" s="1" t="s">
        <v>25</v>
      </c>
      <c r="L230" s="1"/>
      <c r="M230" s="4">
        <f t="shared" si="11"/>
        <v>97954.473684210534</v>
      </c>
      <c r="N230" s="2">
        <v>909</v>
      </c>
    </row>
    <row r="231" spans="1:14" x14ac:dyDescent="0.4">
      <c r="A231" s="1">
        <v>100230</v>
      </c>
      <c r="B231" s="1"/>
      <c r="C231" s="1"/>
      <c r="D231" s="1"/>
      <c r="E231" s="1"/>
      <c r="F231" s="1"/>
      <c r="G231" s="1">
        <v>9.5</v>
      </c>
      <c r="H231" s="1">
        <v>43</v>
      </c>
      <c r="I231" s="5">
        <f t="shared" si="10"/>
        <v>105130.78947368421</v>
      </c>
      <c r="J231" s="1"/>
      <c r="K231" s="1" t="s">
        <v>25</v>
      </c>
      <c r="L231" s="1"/>
      <c r="M231" s="4">
        <f t="shared" si="11"/>
        <v>105130.78947368421</v>
      </c>
      <c r="N231" s="2">
        <v>999</v>
      </c>
    </row>
    <row r="232" spans="1:14" x14ac:dyDescent="0.4">
      <c r="A232" s="1">
        <v>100231</v>
      </c>
      <c r="B232" s="1"/>
      <c r="C232" s="1"/>
      <c r="D232" s="1"/>
      <c r="E232" s="1"/>
      <c r="F232" s="1"/>
      <c r="G232" s="1">
        <v>10</v>
      </c>
      <c r="H232" s="1">
        <v>44</v>
      </c>
      <c r="I232" s="5">
        <f t="shared" si="10"/>
        <v>88386.052631578947</v>
      </c>
      <c r="J232" s="1"/>
      <c r="K232" s="1" t="s">
        <v>25</v>
      </c>
      <c r="L232" s="1"/>
      <c r="M232" s="4">
        <f t="shared" si="11"/>
        <v>88386.052631578947</v>
      </c>
      <c r="N232" s="2">
        <v>789</v>
      </c>
    </row>
    <row r="233" spans="1:14" x14ac:dyDescent="0.4">
      <c r="A233" s="1">
        <v>100232</v>
      </c>
      <c r="B233" s="1"/>
      <c r="C233" s="1"/>
      <c r="D233" s="1"/>
      <c r="E233" s="1"/>
      <c r="F233" s="1"/>
      <c r="G233" s="1">
        <v>10.5</v>
      </c>
      <c r="H233" s="1">
        <v>44.5</v>
      </c>
      <c r="I233" s="5">
        <f t="shared" si="10"/>
        <v>89980.789473684214</v>
      </c>
      <c r="J233" s="1"/>
      <c r="K233" s="1" t="s">
        <v>25</v>
      </c>
      <c r="L233" s="1"/>
      <c r="M233" s="4">
        <f t="shared" si="11"/>
        <v>89980.789473684214</v>
      </c>
      <c r="N233" s="2">
        <v>809</v>
      </c>
    </row>
    <row r="234" spans="1:14" ht="160.30000000000001" x14ac:dyDescent="0.4">
      <c r="A234" s="1">
        <v>100233</v>
      </c>
      <c r="B234" s="1"/>
      <c r="C234" s="1"/>
      <c r="D234" s="1"/>
      <c r="E234" s="1" t="s">
        <v>30</v>
      </c>
      <c r="F234" s="1" t="s">
        <v>91</v>
      </c>
      <c r="G234" s="1">
        <v>3.5</v>
      </c>
      <c r="H234" s="1">
        <v>35.5</v>
      </c>
      <c r="I234" s="5">
        <f t="shared" si="10"/>
        <v>73236.052631578947</v>
      </c>
      <c r="J234" s="1"/>
      <c r="K234" s="1" t="s">
        <v>32</v>
      </c>
      <c r="L234" s="9" t="s">
        <v>89</v>
      </c>
      <c r="M234" s="4">
        <f t="shared" si="11"/>
        <v>73236.052631578947</v>
      </c>
      <c r="N234" s="2">
        <v>599</v>
      </c>
    </row>
    <row r="235" spans="1:14" x14ac:dyDescent="0.4">
      <c r="A235" s="1">
        <v>100234</v>
      </c>
      <c r="B235" s="1"/>
      <c r="C235" s="1"/>
      <c r="D235" s="1"/>
      <c r="E235" s="1"/>
      <c r="F235" s="1"/>
      <c r="G235" s="1">
        <v>4</v>
      </c>
      <c r="H235" s="1">
        <v>36</v>
      </c>
      <c r="I235" s="5">
        <f t="shared" si="10"/>
        <v>73236.052631578947</v>
      </c>
      <c r="J235" s="1"/>
      <c r="K235" s="1" t="s">
        <v>25</v>
      </c>
      <c r="L235" s="1"/>
      <c r="M235" s="4">
        <f t="shared" si="11"/>
        <v>73236.052631578947</v>
      </c>
      <c r="N235" s="2">
        <v>599</v>
      </c>
    </row>
    <row r="236" spans="1:14" x14ac:dyDescent="0.4">
      <c r="A236" s="1">
        <v>100235</v>
      </c>
      <c r="B236" s="1"/>
      <c r="C236" s="1"/>
      <c r="D236" s="1"/>
      <c r="E236" s="1"/>
      <c r="F236" s="1"/>
      <c r="G236" s="1">
        <v>4.5</v>
      </c>
      <c r="H236" s="1">
        <v>36.5</v>
      </c>
      <c r="I236" s="5">
        <f t="shared" si="10"/>
        <v>75628.15789473684</v>
      </c>
      <c r="J236" s="1"/>
      <c r="K236" s="1" t="s">
        <v>25</v>
      </c>
      <c r="L236" s="1"/>
      <c r="M236" s="4">
        <f t="shared" si="11"/>
        <v>75628.15789473684</v>
      </c>
      <c r="N236" s="2">
        <v>629</v>
      </c>
    </row>
    <row r="237" spans="1:14" x14ac:dyDescent="0.4">
      <c r="A237" s="1">
        <v>100236</v>
      </c>
      <c r="B237" s="1"/>
      <c r="C237" s="1"/>
      <c r="D237" s="1"/>
      <c r="E237" s="1"/>
      <c r="F237" s="1"/>
      <c r="G237" s="1">
        <v>5</v>
      </c>
      <c r="H237" s="1">
        <v>37.5</v>
      </c>
      <c r="I237" s="5">
        <f t="shared" si="10"/>
        <v>97157.105263157893</v>
      </c>
      <c r="J237" s="1"/>
      <c r="K237" s="1" t="s">
        <v>25</v>
      </c>
      <c r="L237" s="1"/>
      <c r="M237" s="4">
        <f t="shared" si="11"/>
        <v>97157.105263157893</v>
      </c>
      <c r="N237" s="2">
        <v>899</v>
      </c>
    </row>
    <row r="238" spans="1:14" x14ac:dyDescent="0.4">
      <c r="A238" s="1">
        <v>100237</v>
      </c>
      <c r="B238" s="1"/>
      <c r="C238" s="1"/>
      <c r="D238" s="1"/>
      <c r="E238" s="1"/>
      <c r="F238" s="1"/>
      <c r="G238" s="1">
        <v>5.5</v>
      </c>
      <c r="H238" s="1">
        <v>38</v>
      </c>
      <c r="I238" s="5">
        <f t="shared" si="10"/>
        <v>84399.210526315786</v>
      </c>
      <c r="J238" s="1"/>
      <c r="K238" s="1" t="s">
        <v>25</v>
      </c>
      <c r="L238" s="1"/>
      <c r="M238" s="4">
        <f t="shared" si="11"/>
        <v>84399.210526315786</v>
      </c>
      <c r="N238" s="2">
        <v>739</v>
      </c>
    </row>
    <row r="239" spans="1:14" x14ac:dyDescent="0.4">
      <c r="A239" s="1">
        <v>100238</v>
      </c>
      <c r="B239" s="1"/>
      <c r="C239" s="1"/>
      <c r="D239" s="1"/>
      <c r="E239" s="1"/>
      <c r="F239" s="1"/>
      <c r="G239" s="1">
        <v>6</v>
      </c>
      <c r="H239" s="1">
        <v>38.5</v>
      </c>
      <c r="I239" s="5">
        <f t="shared" si="10"/>
        <v>70843.947368421053</v>
      </c>
      <c r="J239" s="1"/>
      <c r="K239" s="1" t="s">
        <v>25</v>
      </c>
      <c r="L239" s="1"/>
      <c r="M239" s="4">
        <f t="shared" si="11"/>
        <v>70843.947368421053</v>
      </c>
      <c r="N239" s="2">
        <v>569</v>
      </c>
    </row>
    <row r="240" spans="1:14" x14ac:dyDescent="0.4">
      <c r="A240" s="1">
        <v>100239</v>
      </c>
      <c r="B240" s="1"/>
      <c r="C240" s="1"/>
      <c r="D240" s="1"/>
      <c r="E240" s="1"/>
      <c r="F240" s="1"/>
      <c r="G240" s="1">
        <v>6.5</v>
      </c>
      <c r="H240" s="1">
        <v>39</v>
      </c>
      <c r="I240" s="5">
        <f t="shared" si="10"/>
        <v>89980.789473684214</v>
      </c>
      <c r="J240" s="1"/>
      <c r="K240" s="1" t="s">
        <v>25</v>
      </c>
      <c r="L240" s="1"/>
      <c r="M240" s="4">
        <f t="shared" si="11"/>
        <v>89980.789473684214</v>
      </c>
      <c r="N240" s="2">
        <v>809</v>
      </c>
    </row>
    <row r="241" spans="1:14" x14ac:dyDescent="0.4">
      <c r="A241" s="1">
        <v>100240</v>
      </c>
      <c r="B241" s="1"/>
      <c r="C241" s="1"/>
      <c r="D241" s="1"/>
      <c r="E241" s="1"/>
      <c r="F241" s="1"/>
      <c r="G241" s="1">
        <v>7</v>
      </c>
      <c r="H241" s="1">
        <v>40</v>
      </c>
      <c r="I241" s="5">
        <f t="shared" si="10"/>
        <v>95801.578947368427</v>
      </c>
      <c r="J241" s="1"/>
      <c r="K241" s="1" t="s">
        <v>25</v>
      </c>
      <c r="L241" s="1"/>
      <c r="M241" s="4">
        <f t="shared" si="11"/>
        <v>95801.578947368427</v>
      </c>
      <c r="N241" s="2">
        <v>882</v>
      </c>
    </row>
    <row r="242" spans="1:14" x14ac:dyDescent="0.4">
      <c r="A242" s="1">
        <v>100241</v>
      </c>
      <c r="B242" s="1"/>
      <c r="C242" s="1"/>
      <c r="D242" s="1"/>
      <c r="E242" s="1"/>
      <c r="F242" s="1"/>
      <c r="G242" s="1">
        <v>7.5</v>
      </c>
      <c r="H242" s="1">
        <v>40.5</v>
      </c>
      <c r="I242" s="5">
        <f t="shared" si="10"/>
        <v>93170.263157894748</v>
      </c>
      <c r="J242" s="1"/>
      <c r="K242" s="1" t="s">
        <v>25</v>
      </c>
      <c r="L242" s="1"/>
      <c r="M242" s="4">
        <f t="shared" si="11"/>
        <v>93170.263157894748</v>
      </c>
      <c r="N242" s="2">
        <v>849</v>
      </c>
    </row>
    <row r="243" spans="1:14" x14ac:dyDescent="0.4">
      <c r="A243" s="1">
        <v>100242</v>
      </c>
      <c r="B243" s="1"/>
      <c r="C243" s="1"/>
      <c r="D243" s="1"/>
      <c r="E243" s="1"/>
      <c r="F243" s="1"/>
      <c r="G243" s="1">
        <v>8</v>
      </c>
      <c r="H243" s="1">
        <v>41</v>
      </c>
      <c r="I243" s="5">
        <f t="shared" si="10"/>
        <v>106725.52631578948</v>
      </c>
      <c r="J243" s="1"/>
      <c r="K243" s="1" t="s">
        <v>25</v>
      </c>
      <c r="L243" s="1"/>
      <c r="M243" s="4">
        <f t="shared" si="11"/>
        <v>106725.52631578948</v>
      </c>
      <c r="N243" s="2">
        <v>1019</v>
      </c>
    </row>
    <row r="244" spans="1:14" x14ac:dyDescent="0.4">
      <c r="A244" s="1">
        <v>100243</v>
      </c>
      <c r="B244" s="1"/>
      <c r="C244" s="1"/>
      <c r="D244" s="1"/>
      <c r="E244" s="1"/>
      <c r="F244" s="1"/>
      <c r="G244" s="1">
        <v>8.5</v>
      </c>
      <c r="H244" s="1">
        <v>42</v>
      </c>
      <c r="I244" s="5">
        <f t="shared" si="10"/>
        <v>85993.947368421053</v>
      </c>
      <c r="J244" s="1"/>
      <c r="K244" s="1" t="s">
        <v>25</v>
      </c>
      <c r="L244" s="1"/>
      <c r="M244" s="4">
        <f t="shared" si="11"/>
        <v>85993.947368421053</v>
      </c>
      <c r="N244" s="2">
        <v>759</v>
      </c>
    </row>
    <row r="245" spans="1:14" x14ac:dyDescent="0.4">
      <c r="A245" s="1">
        <v>100244</v>
      </c>
      <c r="B245" s="1"/>
      <c r="C245" s="1"/>
      <c r="D245" s="1"/>
      <c r="E245" s="1"/>
      <c r="F245" s="1"/>
      <c r="G245" s="1">
        <v>9</v>
      </c>
      <c r="H245" s="1">
        <v>42.5</v>
      </c>
      <c r="I245" s="5">
        <f t="shared" si="10"/>
        <v>79615</v>
      </c>
      <c r="J245" s="1"/>
      <c r="K245" s="1" t="s">
        <v>25</v>
      </c>
      <c r="L245" s="1"/>
      <c r="M245" s="4">
        <f t="shared" si="11"/>
        <v>79615</v>
      </c>
      <c r="N245" s="2">
        <v>679</v>
      </c>
    </row>
    <row r="246" spans="1:14" x14ac:dyDescent="0.4">
      <c r="A246" s="1">
        <v>100245</v>
      </c>
      <c r="B246" s="1"/>
      <c r="C246" s="1"/>
      <c r="D246" s="1"/>
      <c r="E246" s="1"/>
      <c r="F246" s="1"/>
      <c r="G246" s="1">
        <v>9.5</v>
      </c>
      <c r="H246" s="1">
        <v>43</v>
      </c>
      <c r="I246" s="5">
        <f t="shared" si="10"/>
        <v>76425.526315789481</v>
      </c>
      <c r="J246" s="1"/>
      <c r="K246" s="1" t="s">
        <v>25</v>
      </c>
      <c r="L246" s="1"/>
      <c r="M246" s="4">
        <f t="shared" si="11"/>
        <v>76425.526315789481</v>
      </c>
      <c r="N246" s="2">
        <v>639</v>
      </c>
    </row>
    <row r="247" spans="1:14" x14ac:dyDescent="0.4">
      <c r="A247" s="1">
        <v>100246</v>
      </c>
      <c r="B247" s="1"/>
      <c r="C247" s="1"/>
      <c r="D247" s="1"/>
      <c r="E247" s="1"/>
      <c r="F247" s="1"/>
      <c r="G247" s="1">
        <v>10</v>
      </c>
      <c r="H247" s="1">
        <v>44</v>
      </c>
      <c r="I247" s="5">
        <f t="shared" si="10"/>
        <v>70843.947368421053</v>
      </c>
      <c r="J247" s="1"/>
      <c r="K247" s="1" t="s">
        <v>25</v>
      </c>
      <c r="L247" s="1"/>
      <c r="M247" s="4">
        <f t="shared" si="11"/>
        <v>70843.947368421053</v>
      </c>
      <c r="N247" s="2">
        <v>569</v>
      </c>
    </row>
    <row r="248" spans="1:14" x14ac:dyDescent="0.4">
      <c r="A248" s="1">
        <v>100247</v>
      </c>
      <c r="B248" s="1"/>
      <c r="C248" s="1"/>
      <c r="D248" s="1"/>
      <c r="E248" s="1"/>
      <c r="F248" s="1"/>
      <c r="G248" s="1">
        <v>10.5</v>
      </c>
      <c r="H248" s="1">
        <v>44.5</v>
      </c>
      <c r="I248" s="5">
        <f t="shared" si="10"/>
        <v>67654.473684210534</v>
      </c>
      <c r="J248" s="1"/>
      <c r="K248" s="1" t="s">
        <v>25</v>
      </c>
      <c r="L248" s="1"/>
      <c r="M248" s="4">
        <f t="shared" si="11"/>
        <v>67654.473684210534</v>
      </c>
      <c r="N248" s="2">
        <v>529</v>
      </c>
    </row>
    <row r="249" spans="1:14" ht="160.30000000000001" x14ac:dyDescent="0.4">
      <c r="A249" s="1">
        <v>100248</v>
      </c>
      <c r="B249" s="1"/>
      <c r="C249" s="1"/>
      <c r="D249" s="1"/>
      <c r="E249" s="1" t="s">
        <v>92</v>
      </c>
      <c r="F249" s="1" t="s">
        <v>93</v>
      </c>
      <c r="G249" s="1">
        <v>3.5</v>
      </c>
      <c r="H249" s="1">
        <v>35.5</v>
      </c>
      <c r="I249" s="5">
        <f t="shared" si="10"/>
        <v>89980.789473684214</v>
      </c>
      <c r="J249" s="1"/>
      <c r="K249" s="1" t="s">
        <v>32</v>
      </c>
      <c r="L249" s="9" t="s">
        <v>89</v>
      </c>
      <c r="M249" s="4">
        <f t="shared" si="11"/>
        <v>89980.789473684214</v>
      </c>
      <c r="N249" s="2">
        <v>809</v>
      </c>
    </row>
    <row r="250" spans="1:14" x14ac:dyDescent="0.4">
      <c r="A250" s="1">
        <v>100249</v>
      </c>
      <c r="B250" s="1"/>
      <c r="C250" s="1"/>
      <c r="D250" s="1"/>
      <c r="E250" s="1"/>
      <c r="F250" s="1"/>
      <c r="G250" s="1">
        <v>4</v>
      </c>
      <c r="H250" s="1">
        <v>36</v>
      </c>
      <c r="I250" s="5">
        <f t="shared" si="10"/>
        <v>93967.631578947374</v>
      </c>
      <c r="J250" s="1"/>
      <c r="K250" s="1" t="s">
        <v>25</v>
      </c>
      <c r="L250" s="1"/>
      <c r="M250" s="4">
        <f t="shared" si="11"/>
        <v>93967.631578947374</v>
      </c>
      <c r="N250" s="2">
        <v>859</v>
      </c>
    </row>
    <row r="251" spans="1:14" x14ac:dyDescent="0.4">
      <c r="A251" s="1">
        <v>100250</v>
      </c>
      <c r="B251" s="1"/>
      <c r="C251" s="1"/>
      <c r="D251" s="1"/>
      <c r="E251" s="1"/>
      <c r="F251" s="1"/>
      <c r="G251" s="1">
        <v>4.5</v>
      </c>
      <c r="H251" s="1">
        <v>36.5</v>
      </c>
      <c r="I251" s="5">
        <f t="shared" si="10"/>
        <v>86791.315789473694</v>
      </c>
      <c r="J251" s="1"/>
      <c r="K251" s="1" t="s">
        <v>25</v>
      </c>
      <c r="L251" s="1"/>
      <c r="M251" s="4">
        <f t="shared" si="11"/>
        <v>86791.315789473694</v>
      </c>
      <c r="N251" s="2">
        <v>769</v>
      </c>
    </row>
    <row r="252" spans="1:14" x14ac:dyDescent="0.4">
      <c r="A252" s="1">
        <v>100251</v>
      </c>
      <c r="B252" s="1"/>
      <c r="C252" s="1"/>
      <c r="D252" s="1"/>
      <c r="E252" s="1"/>
      <c r="F252" s="1"/>
      <c r="G252" s="1">
        <v>5</v>
      </c>
      <c r="H252" s="1">
        <v>37.5</v>
      </c>
      <c r="I252" s="5">
        <f t="shared" si="10"/>
        <v>120280.78947368421</v>
      </c>
      <c r="J252" s="1"/>
      <c r="K252" s="1" t="s">
        <v>25</v>
      </c>
      <c r="L252" s="1"/>
      <c r="M252" s="4">
        <f t="shared" si="11"/>
        <v>120280.78947368421</v>
      </c>
      <c r="N252" s="2">
        <v>1189</v>
      </c>
    </row>
    <row r="253" spans="1:14" x14ac:dyDescent="0.4">
      <c r="A253" s="1">
        <v>100252</v>
      </c>
      <c r="B253" s="1"/>
      <c r="C253" s="1"/>
      <c r="D253" s="1"/>
      <c r="E253" s="1"/>
      <c r="F253" s="1"/>
      <c r="G253" s="1">
        <v>5.5</v>
      </c>
      <c r="H253" s="1">
        <v>38</v>
      </c>
      <c r="I253" s="5">
        <f t="shared" si="10"/>
        <v>94765</v>
      </c>
      <c r="J253" s="1"/>
      <c r="K253" s="1" t="s">
        <v>25</v>
      </c>
      <c r="L253" s="1"/>
      <c r="M253" s="4">
        <f t="shared" si="11"/>
        <v>94765</v>
      </c>
      <c r="N253" s="2">
        <v>869</v>
      </c>
    </row>
    <row r="254" spans="1:14" x14ac:dyDescent="0.4">
      <c r="A254" s="1">
        <v>100253</v>
      </c>
      <c r="B254" s="1"/>
      <c r="C254" s="1"/>
      <c r="D254" s="1"/>
      <c r="E254" s="1"/>
      <c r="F254" s="1"/>
      <c r="G254" s="1">
        <v>6</v>
      </c>
      <c r="H254" s="1">
        <v>38.5</v>
      </c>
      <c r="I254" s="5">
        <f t="shared" si="10"/>
        <v>81209.736842105267</v>
      </c>
      <c r="J254" s="1"/>
      <c r="K254" s="1" t="s">
        <v>25</v>
      </c>
      <c r="L254" s="1"/>
      <c r="M254" s="4">
        <f t="shared" si="11"/>
        <v>81209.736842105267</v>
      </c>
      <c r="N254" s="2">
        <v>699</v>
      </c>
    </row>
    <row r="255" spans="1:14" x14ac:dyDescent="0.4">
      <c r="A255" s="1">
        <v>100254</v>
      </c>
      <c r="B255" s="1"/>
      <c r="C255" s="1"/>
      <c r="D255" s="1"/>
      <c r="E255" s="1"/>
      <c r="F255" s="1"/>
      <c r="G255" s="1">
        <v>6.5</v>
      </c>
      <c r="H255" s="1">
        <v>39</v>
      </c>
      <c r="I255" s="5">
        <f t="shared" si="10"/>
        <v>87588.68421052632</v>
      </c>
      <c r="J255" s="1"/>
      <c r="K255" s="1" t="s">
        <v>25</v>
      </c>
      <c r="L255" s="1"/>
      <c r="M255" s="4">
        <f t="shared" si="11"/>
        <v>87588.68421052632</v>
      </c>
      <c r="N255" s="2">
        <v>779</v>
      </c>
    </row>
    <row r="256" spans="1:14" x14ac:dyDescent="0.4">
      <c r="A256" s="1">
        <v>100255</v>
      </c>
      <c r="B256" s="1"/>
      <c r="C256" s="1"/>
      <c r="D256" s="1"/>
      <c r="E256" s="1"/>
      <c r="F256" s="1"/>
      <c r="G256" s="1">
        <v>7</v>
      </c>
      <c r="H256" s="1">
        <v>40</v>
      </c>
      <c r="I256" s="5">
        <f>M256</f>
        <v>100346.57894736843</v>
      </c>
      <c r="J256" s="1"/>
      <c r="K256" s="1" t="s">
        <v>25</v>
      </c>
      <c r="L256" s="1"/>
      <c r="M256" s="4">
        <f t="shared" si="11"/>
        <v>100346.57894736843</v>
      </c>
      <c r="N256" s="2">
        <v>939</v>
      </c>
    </row>
    <row r="257" spans="1:14" x14ac:dyDescent="0.4">
      <c r="A257" s="1">
        <v>100256</v>
      </c>
      <c r="B257" s="1"/>
      <c r="C257" s="1"/>
      <c r="D257" s="1"/>
      <c r="E257" s="1"/>
      <c r="F257" s="1"/>
      <c r="G257" s="1">
        <v>7.5</v>
      </c>
      <c r="H257" s="1">
        <v>40.5</v>
      </c>
      <c r="I257" s="5">
        <f t="shared" ref="I257:I290" si="12">M257</f>
        <v>101941.31578947369</v>
      </c>
      <c r="J257" s="1"/>
      <c r="K257" s="1" t="s">
        <v>25</v>
      </c>
      <c r="L257" s="1"/>
      <c r="M257" s="4">
        <f t="shared" si="11"/>
        <v>101941.31578947369</v>
      </c>
      <c r="N257" s="2">
        <v>959</v>
      </c>
    </row>
    <row r="258" spans="1:14" x14ac:dyDescent="0.4">
      <c r="A258" s="1">
        <v>100257</v>
      </c>
      <c r="B258" s="1"/>
      <c r="C258" s="1"/>
      <c r="D258" s="1"/>
      <c r="E258" s="1"/>
      <c r="F258" s="1"/>
      <c r="G258" s="1">
        <v>8</v>
      </c>
      <c r="H258" s="1">
        <v>41</v>
      </c>
      <c r="I258" s="5">
        <f t="shared" si="12"/>
        <v>97555.789473684214</v>
      </c>
      <c r="J258" s="1"/>
      <c r="K258" s="1" t="s">
        <v>25</v>
      </c>
      <c r="L258" s="1"/>
      <c r="M258" s="4">
        <f t="shared" si="11"/>
        <v>97555.789473684214</v>
      </c>
      <c r="N258" s="2">
        <v>904</v>
      </c>
    </row>
    <row r="259" spans="1:14" x14ac:dyDescent="0.4">
      <c r="A259" s="1">
        <v>100258</v>
      </c>
      <c r="B259" s="1"/>
      <c r="C259" s="1"/>
      <c r="D259" s="1"/>
      <c r="E259" s="1"/>
      <c r="F259" s="1"/>
      <c r="G259" s="1">
        <v>8.5</v>
      </c>
      <c r="H259" s="1">
        <v>42</v>
      </c>
      <c r="I259" s="5">
        <f t="shared" si="12"/>
        <v>93967.631578947374</v>
      </c>
      <c r="J259" s="1"/>
      <c r="K259" s="1" t="s">
        <v>25</v>
      </c>
      <c r="L259" s="1"/>
      <c r="M259" s="4">
        <f t="shared" si="11"/>
        <v>93967.631578947374</v>
      </c>
      <c r="N259" s="2">
        <v>859</v>
      </c>
    </row>
    <row r="260" spans="1:14" x14ac:dyDescent="0.4">
      <c r="A260" s="1">
        <v>100259</v>
      </c>
      <c r="B260" s="1"/>
      <c r="C260" s="1"/>
      <c r="D260" s="1"/>
      <c r="E260" s="1"/>
      <c r="F260" s="1"/>
      <c r="G260" s="1">
        <v>9</v>
      </c>
      <c r="H260" s="1">
        <v>42.5</v>
      </c>
      <c r="I260" s="5">
        <f t="shared" si="12"/>
        <v>105130.78947368421</v>
      </c>
      <c r="J260" s="1"/>
      <c r="K260" s="1" t="s">
        <v>25</v>
      </c>
      <c r="L260" s="1"/>
      <c r="M260" s="4">
        <f t="shared" si="11"/>
        <v>105130.78947368421</v>
      </c>
      <c r="N260" s="2">
        <v>999</v>
      </c>
    </row>
    <row r="261" spans="1:14" x14ac:dyDescent="0.4">
      <c r="A261" s="1">
        <v>100260</v>
      </c>
      <c r="B261" s="1"/>
      <c r="C261" s="1"/>
      <c r="D261" s="1"/>
      <c r="E261" s="1"/>
      <c r="F261" s="1"/>
      <c r="G261" s="1">
        <v>9.5</v>
      </c>
      <c r="H261" s="1">
        <v>43</v>
      </c>
      <c r="I261" s="5">
        <f t="shared" si="12"/>
        <v>92372.894736842107</v>
      </c>
      <c r="J261" s="1"/>
      <c r="K261" s="1" t="s">
        <v>25</v>
      </c>
      <c r="L261" s="1"/>
      <c r="M261" s="4">
        <f t="shared" si="11"/>
        <v>92372.894736842107</v>
      </c>
      <c r="N261" s="2">
        <v>839</v>
      </c>
    </row>
    <row r="262" spans="1:14" x14ac:dyDescent="0.4">
      <c r="A262" s="1">
        <v>100261</v>
      </c>
      <c r="B262" s="1"/>
      <c r="C262" s="1"/>
      <c r="D262" s="1"/>
      <c r="E262" s="1"/>
      <c r="F262" s="1"/>
      <c r="G262" s="1">
        <v>10</v>
      </c>
      <c r="H262" s="1">
        <v>44</v>
      </c>
      <c r="I262" s="5">
        <f t="shared" si="12"/>
        <v>81927.368421052641</v>
      </c>
      <c r="J262" s="1"/>
      <c r="K262" s="1" t="s">
        <v>25</v>
      </c>
      <c r="L262" s="1"/>
      <c r="M262" s="4">
        <f t="shared" si="11"/>
        <v>81927.368421052641</v>
      </c>
      <c r="N262" s="2">
        <v>708</v>
      </c>
    </row>
    <row r="263" spans="1:14" x14ac:dyDescent="0.4">
      <c r="A263" s="1">
        <v>100262</v>
      </c>
      <c r="B263" s="1"/>
      <c r="C263" s="1"/>
      <c r="D263" s="1"/>
      <c r="E263" s="1"/>
      <c r="F263" s="1"/>
      <c r="G263" s="1">
        <v>10.5</v>
      </c>
      <c r="H263" s="1">
        <v>44.5</v>
      </c>
      <c r="I263" s="5">
        <f t="shared" si="12"/>
        <v>81209.736842105267</v>
      </c>
      <c r="J263" s="1"/>
      <c r="K263" s="1" t="s">
        <v>25</v>
      </c>
      <c r="L263" s="1"/>
      <c r="M263" s="4">
        <f t="shared" si="11"/>
        <v>81209.736842105267</v>
      </c>
      <c r="N263" s="2">
        <v>699</v>
      </c>
    </row>
    <row r="264" spans="1:14" ht="160.30000000000001" x14ac:dyDescent="0.4">
      <c r="A264" s="1">
        <v>100263</v>
      </c>
      <c r="B264" s="1"/>
      <c r="C264" s="1" t="s">
        <v>94</v>
      </c>
      <c r="D264" s="1" t="s">
        <v>6</v>
      </c>
      <c r="E264" s="1" t="s">
        <v>43</v>
      </c>
      <c r="F264" s="1" t="s">
        <v>95</v>
      </c>
      <c r="G264" s="1">
        <v>6</v>
      </c>
      <c r="H264" s="1">
        <v>38.5</v>
      </c>
      <c r="I264" s="5">
        <f t="shared" si="12"/>
        <v>93170.263157894748</v>
      </c>
      <c r="J264" s="1"/>
      <c r="K264" s="1" t="s">
        <v>25</v>
      </c>
      <c r="L264" s="9" t="s">
        <v>89</v>
      </c>
      <c r="M264" s="4">
        <f t="shared" si="11"/>
        <v>93170.263157894748</v>
      </c>
      <c r="N264" s="2">
        <v>849</v>
      </c>
    </row>
    <row r="265" spans="1:14" x14ac:dyDescent="0.4">
      <c r="A265" s="1">
        <v>100264</v>
      </c>
      <c r="B265" s="1"/>
      <c r="C265" s="1"/>
      <c r="D265" s="1"/>
      <c r="E265" s="1"/>
      <c r="F265" s="1"/>
      <c r="G265" s="1">
        <v>6.5</v>
      </c>
      <c r="H265" s="1">
        <v>39</v>
      </c>
      <c r="I265" s="5">
        <f t="shared" si="12"/>
        <v>96359.736842105267</v>
      </c>
      <c r="J265" s="1"/>
      <c r="K265" s="1" t="s">
        <v>25</v>
      </c>
      <c r="L265" s="1"/>
      <c r="M265" s="4">
        <f t="shared" si="11"/>
        <v>96359.736842105267</v>
      </c>
      <c r="N265" s="2">
        <v>889</v>
      </c>
    </row>
    <row r="266" spans="1:14" x14ac:dyDescent="0.4">
      <c r="A266" s="1">
        <v>100265</v>
      </c>
      <c r="B266" s="1"/>
      <c r="C266" s="1"/>
      <c r="D266" s="1"/>
      <c r="E266" s="1"/>
      <c r="F266" s="1"/>
      <c r="G266" s="1">
        <v>7</v>
      </c>
      <c r="H266" s="1">
        <v>40</v>
      </c>
      <c r="I266" s="5">
        <f t="shared" si="12"/>
        <v>77222.894736842107</v>
      </c>
      <c r="J266" s="1"/>
      <c r="K266" s="1" t="s">
        <v>25</v>
      </c>
      <c r="L266" s="1"/>
      <c r="M266" s="4">
        <f t="shared" si="11"/>
        <v>77222.894736842107</v>
      </c>
      <c r="N266" s="2">
        <v>649</v>
      </c>
    </row>
    <row r="267" spans="1:14" x14ac:dyDescent="0.4">
      <c r="A267" s="1">
        <v>100266</v>
      </c>
      <c r="B267" s="1"/>
      <c r="C267" s="1"/>
      <c r="D267" s="1"/>
      <c r="E267" s="1"/>
      <c r="F267" s="1"/>
      <c r="G267" s="1">
        <v>7.5</v>
      </c>
      <c r="H267" s="1">
        <v>40.5</v>
      </c>
      <c r="I267" s="5">
        <f t="shared" si="12"/>
        <v>72438.68421052632</v>
      </c>
      <c r="J267" s="1"/>
      <c r="K267" s="1" t="s">
        <v>25</v>
      </c>
      <c r="L267" s="1"/>
      <c r="M267" s="4">
        <f t="shared" si="11"/>
        <v>72438.68421052632</v>
      </c>
      <c r="N267" s="2">
        <v>589</v>
      </c>
    </row>
    <row r="268" spans="1:14" x14ac:dyDescent="0.4">
      <c r="A268" s="1">
        <v>100267</v>
      </c>
      <c r="B268" s="1"/>
      <c r="C268" s="1"/>
      <c r="D268" s="1"/>
      <c r="E268" s="1"/>
      <c r="F268" s="1"/>
      <c r="G268" s="1">
        <v>8</v>
      </c>
      <c r="H268" s="1">
        <v>41</v>
      </c>
      <c r="I268" s="5">
        <f t="shared" si="12"/>
        <v>73236.052631578947</v>
      </c>
      <c r="J268" s="1"/>
      <c r="K268" s="1" t="s">
        <v>25</v>
      </c>
      <c r="L268" s="1"/>
      <c r="M268" s="4">
        <f t="shared" si="11"/>
        <v>73236.052631578947</v>
      </c>
      <c r="N268" s="2">
        <v>599</v>
      </c>
    </row>
    <row r="269" spans="1:14" x14ac:dyDescent="0.4">
      <c r="A269" s="1">
        <v>100268</v>
      </c>
      <c r="B269" s="1"/>
      <c r="C269" s="1"/>
      <c r="D269" s="1"/>
      <c r="E269" s="1"/>
      <c r="F269" s="1"/>
      <c r="G269" s="1">
        <v>8.5</v>
      </c>
      <c r="H269" s="1">
        <v>42</v>
      </c>
      <c r="I269" s="5">
        <f t="shared" si="12"/>
        <v>72438.68421052632</v>
      </c>
      <c r="J269" s="1"/>
      <c r="K269" s="1" t="s">
        <v>25</v>
      </c>
      <c r="L269" s="1"/>
      <c r="M269" s="4">
        <f t="shared" si="11"/>
        <v>72438.68421052632</v>
      </c>
      <c r="N269" s="2">
        <v>589</v>
      </c>
    </row>
    <row r="270" spans="1:14" x14ac:dyDescent="0.4">
      <c r="A270" s="1">
        <v>100269</v>
      </c>
      <c r="B270" s="1"/>
      <c r="C270" s="1"/>
      <c r="D270" s="1"/>
      <c r="E270" s="1"/>
      <c r="F270" s="1"/>
      <c r="G270" s="1">
        <v>9</v>
      </c>
      <c r="H270" s="1">
        <v>42.5</v>
      </c>
      <c r="I270" s="5">
        <f t="shared" si="12"/>
        <v>74033.421052631587</v>
      </c>
      <c r="J270" s="1"/>
      <c r="K270" s="1" t="s">
        <v>25</v>
      </c>
      <c r="L270" s="1"/>
      <c r="M270" s="4">
        <f t="shared" si="11"/>
        <v>74033.421052631587</v>
      </c>
      <c r="N270" s="2">
        <v>609</v>
      </c>
    </row>
    <row r="271" spans="1:14" x14ac:dyDescent="0.4">
      <c r="A271" s="1">
        <v>100270</v>
      </c>
      <c r="B271" s="1"/>
      <c r="C271" s="1"/>
      <c r="D271" s="1"/>
      <c r="E271" s="1"/>
      <c r="F271" s="1"/>
      <c r="G271" s="1">
        <v>9.5</v>
      </c>
      <c r="H271" s="1">
        <v>43</v>
      </c>
      <c r="I271" s="5">
        <f t="shared" si="12"/>
        <v>71641.315789473694</v>
      </c>
      <c r="J271" s="1"/>
      <c r="K271" s="1" t="s">
        <v>25</v>
      </c>
      <c r="L271" s="1"/>
      <c r="M271" s="4">
        <f t="shared" si="11"/>
        <v>71641.315789473694</v>
      </c>
      <c r="N271" s="2">
        <v>579</v>
      </c>
    </row>
    <row r="272" spans="1:14" x14ac:dyDescent="0.4">
      <c r="A272" s="1">
        <v>100271</v>
      </c>
      <c r="B272" s="1"/>
      <c r="C272" s="1"/>
      <c r="D272" s="1"/>
      <c r="E272" s="1"/>
      <c r="F272" s="1"/>
      <c r="G272" s="1">
        <v>10</v>
      </c>
      <c r="H272" s="1">
        <v>44</v>
      </c>
      <c r="I272" s="5">
        <f t="shared" si="12"/>
        <v>62790.526315789473</v>
      </c>
      <c r="J272" s="1"/>
      <c r="K272" s="1" t="s">
        <v>25</v>
      </c>
      <c r="L272" s="1"/>
      <c r="M272" s="4">
        <f t="shared" si="11"/>
        <v>62790.526315789473</v>
      </c>
      <c r="N272" s="2">
        <v>468</v>
      </c>
    </row>
    <row r="273" spans="1:14" x14ac:dyDescent="0.4">
      <c r="A273" s="1">
        <v>100272</v>
      </c>
      <c r="B273" s="1"/>
      <c r="C273" s="1"/>
      <c r="D273" s="1"/>
      <c r="E273" s="1"/>
      <c r="F273" s="1"/>
      <c r="G273" s="1">
        <v>10.5</v>
      </c>
      <c r="H273" s="1">
        <v>44.5</v>
      </c>
      <c r="I273" s="5">
        <f t="shared" si="12"/>
        <v>62790.526315789473</v>
      </c>
      <c r="J273" s="1"/>
      <c r="K273" s="1" t="s">
        <v>25</v>
      </c>
      <c r="L273" s="1"/>
      <c r="M273" s="4">
        <f t="shared" si="11"/>
        <v>62790.526315789473</v>
      </c>
      <c r="N273" s="2">
        <v>468</v>
      </c>
    </row>
    <row r="274" spans="1:14" ht="160.30000000000001" x14ac:dyDescent="0.4">
      <c r="A274" s="1">
        <v>100273</v>
      </c>
      <c r="B274" s="1"/>
      <c r="C274" s="1"/>
      <c r="D274" s="1" t="s">
        <v>6</v>
      </c>
      <c r="E274" s="1" t="s">
        <v>13</v>
      </c>
      <c r="F274" s="1" t="s">
        <v>96</v>
      </c>
      <c r="G274" s="1">
        <v>6</v>
      </c>
      <c r="H274" s="1">
        <v>38.5</v>
      </c>
      <c r="I274" s="5">
        <f t="shared" si="12"/>
        <v>72438.68421052632</v>
      </c>
      <c r="J274" s="1"/>
      <c r="K274" s="1" t="s">
        <v>25</v>
      </c>
      <c r="L274" s="9" t="s">
        <v>89</v>
      </c>
      <c r="M274" s="4">
        <f t="shared" si="11"/>
        <v>72438.68421052632</v>
      </c>
      <c r="N274" s="2">
        <v>589</v>
      </c>
    </row>
    <row r="275" spans="1:14" x14ac:dyDescent="0.4">
      <c r="A275" s="1">
        <v>100274</v>
      </c>
      <c r="B275" s="1"/>
      <c r="C275" s="1"/>
      <c r="D275" s="1"/>
      <c r="E275" s="1"/>
      <c r="F275" s="1"/>
      <c r="G275" s="1">
        <v>6.5</v>
      </c>
      <c r="H275" s="1">
        <v>39</v>
      </c>
      <c r="I275" s="5">
        <f t="shared" si="12"/>
        <v>75628.15789473684</v>
      </c>
      <c r="J275" s="1"/>
      <c r="K275" s="1" t="s">
        <v>25</v>
      </c>
      <c r="L275" s="1"/>
      <c r="M275" s="4">
        <f t="shared" si="11"/>
        <v>75628.15789473684</v>
      </c>
      <c r="N275" s="2">
        <v>629</v>
      </c>
    </row>
    <row r="276" spans="1:14" x14ac:dyDescent="0.4">
      <c r="A276" s="1">
        <v>100275</v>
      </c>
      <c r="B276" s="1"/>
      <c r="C276" s="1"/>
      <c r="D276" s="1"/>
      <c r="E276" s="1"/>
      <c r="F276" s="1"/>
      <c r="G276" s="1">
        <v>7</v>
      </c>
      <c r="H276" s="1">
        <v>40</v>
      </c>
      <c r="I276" s="5">
        <f t="shared" si="12"/>
        <v>72438.68421052632</v>
      </c>
      <c r="J276" s="1"/>
      <c r="K276" s="1" t="s">
        <v>25</v>
      </c>
      <c r="L276" s="1"/>
      <c r="M276" s="4">
        <f t="shared" si="11"/>
        <v>72438.68421052632</v>
      </c>
      <c r="N276" s="2">
        <v>589</v>
      </c>
    </row>
    <row r="277" spans="1:14" x14ac:dyDescent="0.4">
      <c r="A277" s="1">
        <v>100276</v>
      </c>
      <c r="B277" s="1"/>
      <c r="C277" s="1"/>
      <c r="D277" s="1"/>
      <c r="E277" s="1"/>
      <c r="F277" s="1"/>
      <c r="G277" s="1">
        <v>7.5</v>
      </c>
      <c r="H277" s="1">
        <v>40.5</v>
      </c>
      <c r="I277" s="5">
        <f t="shared" si="12"/>
        <v>69249.210526315786</v>
      </c>
      <c r="J277" s="1"/>
      <c r="K277" s="1" t="s">
        <v>25</v>
      </c>
      <c r="L277" s="1"/>
      <c r="M277" s="4">
        <f t="shared" si="11"/>
        <v>69249.210526315786</v>
      </c>
      <c r="N277" s="2">
        <v>549</v>
      </c>
    </row>
    <row r="278" spans="1:14" x14ac:dyDescent="0.4">
      <c r="A278" s="1">
        <v>100277</v>
      </c>
      <c r="B278" s="1"/>
      <c r="C278" s="1"/>
      <c r="D278" s="1"/>
      <c r="E278" s="1"/>
      <c r="F278" s="1"/>
      <c r="G278" s="1">
        <v>8</v>
      </c>
      <c r="H278" s="1">
        <v>41</v>
      </c>
      <c r="I278" s="5">
        <f t="shared" si="12"/>
        <v>66059.736842105267</v>
      </c>
      <c r="J278" s="1"/>
      <c r="K278" s="1" t="s">
        <v>25</v>
      </c>
      <c r="L278" s="1"/>
      <c r="M278" s="4">
        <f t="shared" si="11"/>
        <v>66059.736842105267</v>
      </c>
      <c r="N278" s="2">
        <v>509</v>
      </c>
    </row>
    <row r="279" spans="1:14" x14ac:dyDescent="0.4">
      <c r="A279" s="1">
        <v>100278</v>
      </c>
      <c r="B279" s="1"/>
      <c r="C279" s="1"/>
      <c r="D279" s="1"/>
      <c r="E279" s="1"/>
      <c r="F279" s="1"/>
      <c r="G279" s="1">
        <v>8.5</v>
      </c>
      <c r="H279" s="1">
        <v>42</v>
      </c>
      <c r="I279" s="5">
        <f t="shared" si="12"/>
        <v>68451.84210526316</v>
      </c>
      <c r="J279" s="1"/>
      <c r="K279" s="1" t="s">
        <v>25</v>
      </c>
      <c r="L279" s="1"/>
      <c r="M279" s="4">
        <f t="shared" si="11"/>
        <v>68451.84210526316</v>
      </c>
      <c r="N279" s="2">
        <v>539</v>
      </c>
    </row>
    <row r="280" spans="1:14" x14ac:dyDescent="0.4">
      <c r="A280" s="1">
        <v>100279</v>
      </c>
      <c r="B280" s="1"/>
      <c r="C280" s="1"/>
      <c r="D280" s="1"/>
      <c r="E280" s="1"/>
      <c r="F280" s="1"/>
      <c r="G280" s="1">
        <v>9</v>
      </c>
      <c r="H280" s="1">
        <v>42.5</v>
      </c>
      <c r="I280" s="5">
        <f t="shared" si="12"/>
        <v>65262.368421052633</v>
      </c>
      <c r="J280" s="1"/>
      <c r="K280" s="1" t="s">
        <v>25</v>
      </c>
      <c r="L280" s="1"/>
      <c r="M280" s="4">
        <f t="shared" si="11"/>
        <v>65262.368421052633</v>
      </c>
      <c r="N280" s="2">
        <v>499</v>
      </c>
    </row>
    <row r="281" spans="1:14" x14ac:dyDescent="0.4">
      <c r="A281" s="1">
        <v>100280</v>
      </c>
      <c r="B281" s="1"/>
      <c r="C281" s="1"/>
      <c r="D281" s="1"/>
      <c r="E281" s="1"/>
      <c r="F281" s="1"/>
      <c r="G281" s="1">
        <v>9.5</v>
      </c>
      <c r="H281" s="1">
        <v>43</v>
      </c>
      <c r="I281" s="5">
        <f t="shared" si="12"/>
        <v>80412.368421052641</v>
      </c>
      <c r="J281" s="1"/>
      <c r="K281" s="1" t="s">
        <v>25</v>
      </c>
      <c r="L281" s="1"/>
      <c r="M281" s="4">
        <f t="shared" si="11"/>
        <v>80412.368421052641</v>
      </c>
      <c r="N281" s="2">
        <v>689</v>
      </c>
    </row>
    <row r="282" spans="1:14" x14ac:dyDescent="0.4">
      <c r="A282" s="1">
        <v>100281</v>
      </c>
      <c r="B282" s="1"/>
      <c r="C282" s="1"/>
      <c r="D282" s="1"/>
      <c r="E282" s="1"/>
      <c r="F282" s="1"/>
      <c r="G282" s="1">
        <v>10</v>
      </c>
      <c r="H282" s="1">
        <v>44</v>
      </c>
      <c r="I282" s="5">
        <f t="shared" si="12"/>
        <v>62790.526315789473</v>
      </c>
      <c r="J282" s="1"/>
      <c r="K282" s="1" t="s">
        <v>25</v>
      </c>
      <c r="L282" s="1"/>
      <c r="M282" s="4">
        <f t="shared" si="11"/>
        <v>62790.526315789473</v>
      </c>
      <c r="N282" s="2">
        <v>468</v>
      </c>
    </row>
    <row r="283" spans="1:14" x14ac:dyDescent="0.4">
      <c r="A283" s="1">
        <v>100282</v>
      </c>
      <c r="B283" s="1"/>
      <c r="C283" s="1"/>
      <c r="D283" s="1"/>
      <c r="E283" s="1"/>
      <c r="F283" s="1"/>
      <c r="G283" s="1">
        <v>10.5</v>
      </c>
      <c r="H283" s="1">
        <v>44.5</v>
      </c>
      <c r="I283" s="5">
        <f t="shared" si="12"/>
        <v>61036.315789473687</v>
      </c>
      <c r="J283" s="1"/>
      <c r="K283" s="1" t="s">
        <v>25</v>
      </c>
      <c r="L283" s="1"/>
      <c r="M283" s="4">
        <f t="shared" si="11"/>
        <v>61036.315789473687</v>
      </c>
      <c r="N283" s="2">
        <v>446</v>
      </c>
    </row>
    <row r="284" spans="1:14" ht="160.30000000000001" x14ac:dyDescent="0.4">
      <c r="A284" s="1">
        <v>100283</v>
      </c>
      <c r="B284" s="1"/>
      <c r="C284" s="1"/>
      <c r="D284" s="1" t="s">
        <v>6</v>
      </c>
      <c r="E284" s="1" t="s">
        <v>86</v>
      </c>
      <c r="F284" s="1" t="s">
        <v>97</v>
      </c>
      <c r="G284" s="1">
        <v>6</v>
      </c>
      <c r="H284" s="1">
        <v>38.5</v>
      </c>
      <c r="I284" s="5">
        <f t="shared" si="12"/>
        <v>74033.421052631587</v>
      </c>
      <c r="J284" s="1"/>
      <c r="K284" s="1" t="s">
        <v>25</v>
      </c>
      <c r="L284" s="9" t="s">
        <v>89</v>
      </c>
      <c r="M284" s="4">
        <f t="shared" si="11"/>
        <v>74033.421052631587</v>
      </c>
      <c r="N284" s="2">
        <v>609</v>
      </c>
    </row>
    <row r="285" spans="1:14" x14ac:dyDescent="0.4">
      <c r="A285" s="1">
        <v>100284</v>
      </c>
      <c r="B285" s="1"/>
      <c r="C285" s="1"/>
      <c r="D285" s="1"/>
      <c r="E285" s="1"/>
      <c r="F285" s="1"/>
      <c r="G285" s="1">
        <v>6.5</v>
      </c>
      <c r="H285" s="1">
        <v>39</v>
      </c>
      <c r="I285" s="5">
        <f t="shared" si="12"/>
        <v>73236.052631578947</v>
      </c>
      <c r="J285" s="1"/>
      <c r="K285" s="1" t="s">
        <v>25</v>
      </c>
      <c r="L285" s="1"/>
      <c r="M285" s="4">
        <f t="shared" si="11"/>
        <v>73236.052631578947</v>
      </c>
      <c r="N285" s="2">
        <v>599</v>
      </c>
    </row>
    <row r="286" spans="1:14" x14ac:dyDescent="0.4">
      <c r="A286" s="1">
        <v>100285</v>
      </c>
      <c r="B286" s="1"/>
      <c r="C286" s="1"/>
      <c r="D286" s="1"/>
      <c r="E286" s="1"/>
      <c r="F286" s="1"/>
      <c r="G286" s="1">
        <v>7</v>
      </c>
      <c r="H286" s="1">
        <v>40</v>
      </c>
      <c r="I286" s="5">
        <f t="shared" si="12"/>
        <v>83601.84210526316</v>
      </c>
      <c r="J286" s="1"/>
      <c r="K286" s="1" t="s">
        <v>25</v>
      </c>
      <c r="L286" s="1"/>
      <c r="M286" s="4">
        <f t="shared" si="11"/>
        <v>83601.84210526316</v>
      </c>
      <c r="N286" s="2">
        <v>729</v>
      </c>
    </row>
    <row r="287" spans="1:14" x14ac:dyDescent="0.4">
      <c r="A287" s="12">
        <v>100286</v>
      </c>
      <c r="B287" s="1"/>
      <c r="C287" s="1"/>
      <c r="D287" s="1"/>
      <c r="E287" s="1"/>
      <c r="F287" s="1"/>
      <c r="G287" s="1">
        <v>7.5</v>
      </c>
      <c r="H287" s="1">
        <v>40.5</v>
      </c>
      <c r="I287" s="5">
        <f t="shared" si="12"/>
        <v>74033.421052631587</v>
      </c>
      <c r="J287" s="1"/>
      <c r="K287" s="1" t="s">
        <v>25</v>
      </c>
      <c r="L287" s="1"/>
      <c r="M287" s="4">
        <f t="shared" ref="M287:M335" si="13">(N287*75+N287*75*0.01+15000+4200+5000)/0.95</f>
        <v>74033.421052631587</v>
      </c>
      <c r="N287" s="2">
        <v>609</v>
      </c>
    </row>
    <row r="288" spans="1:14" x14ac:dyDescent="0.4">
      <c r="A288" s="1">
        <v>100287</v>
      </c>
      <c r="B288" s="1"/>
      <c r="C288" s="1"/>
      <c r="D288" s="1"/>
      <c r="E288" s="1"/>
      <c r="F288" s="1"/>
      <c r="G288" s="1">
        <v>8</v>
      </c>
      <c r="H288" s="1">
        <v>41</v>
      </c>
      <c r="I288" s="5">
        <f t="shared" si="12"/>
        <v>70046.578947368427</v>
      </c>
      <c r="J288" s="1"/>
      <c r="K288" s="1" t="s">
        <v>25</v>
      </c>
      <c r="L288" s="1"/>
      <c r="M288" s="4">
        <f t="shared" si="13"/>
        <v>70046.578947368427</v>
      </c>
      <c r="N288" s="2">
        <v>559</v>
      </c>
    </row>
    <row r="289" spans="1:14" x14ac:dyDescent="0.4">
      <c r="A289" s="1">
        <v>100288</v>
      </c>
      <c r="B289" s="1"/>
      <c r="C289" s="1"/>
      <c r="D289" s="1"/>
      <c r="E289" s="1"/>
      <c r="F289" s="1"/>
      <c r="G289" s="1">
        <v>8.5</v>
      </c>
      <c r="H289" s="1">
        <v>42</v>
      </c>
      <c r="I289" s="5">
        <f t="shared" si="12"/>
        <v>71641.315789473694</v>
      </c>
      <c r="J289" s="1"/>
      <c r="K289" s="1" t="s">
        <v>25</v>
      </c>
      <c r="L289" s="1"/>
      <c r="M289" s="4">
        <f t="shared" si="13"/>
        <v>71641.315789473694</v>
      </c>
      <c r="N289" s="2">
        <v>579</v>
      </c>
    </row>
    <row r="290" spans="1:14" x14ac:dyDescent="0.4">
      <c r="A290" s="1">
        <v>100289</v>
      </c>
      <c r="B290" s="1"/>
      <c r="C290" s="1"/>
      <c r="D290" s="1"/>
      <c r="E290" s="1"/>
      <c r="F290" s="1"/>
      <c r="G290" s="1">
        <v>9</v>
      </c>
      <c r="H290" s="1">
        <v>42.5</v>
      </c>
      <c r="I290" s="5">
        <f t="shared" si="12"/>
        <v>73236.052631578947</v>
      </c>
      <c r="J290" s="1"/>
      <c r="K290" s="1" t="s">
        <v>25</v>
      </c>
      <c r="L290" s="1"/>
      <c r="M290" s="4">
        <f t="shared" si="13"/>
        <v>73236.052631578947</v>
      </c>
      <c r="N290" s="2">
        <v>599</v>
      </c>
    </row>
    <row r="291" spans="1:14" x14ac:dyDescent="0.4">
      <c r="A291" s="12">
        <v>100290</v>
      </c>
      <c r="B291" s="1"/>
      <c r="C291" s="1"/>
      <c r="D291" s="1"/>
      <c r="E291" s="1"/>
      <c r="F291" s="1"/>
      <c r="G291" s="1">
        <v>9.5</v>
      </c>
      <c r="H291" s="1">
        <v>43</v>
      </c>
      <c r="I291" s="5">
        <f>M291</f>
        <v>85196.578947368427</v>
      </c>
      <c r="J291" s="1"/>
      <c r="K291" s="1" t="s">
        <v>25</v>
      </c>
      <c r="L291" s="1"/>
      <c r="M291" s="4">
        <f t="shared" si="13"/>
        <v>85196.578947368427</v>
      </c>
      <c r="N291" s="2">
        <v>749</v>
      </c>
    </row>
    <row r="292" spans="1:14" x14ac:dyDescent="0.4">
      <c r="A292" s="1">
        <v>100291</v>
      </c>
      <c r="B292" s="1"/>
      <c r="C292" s="1"/>
      <c r="D292" s="1"/>
      <c r="E292" s="1"/>
      <c r="F292" s="1"/>
      <c r="G292" s="1">
        <v>10</v>
      </c>
      <c r="H292" s="1">
        <v>44</v>
      </c>
      <c r="I292" s="5">
        <f t="shared" ref="I292:I335" si="14">M292</f>
        <v>74830.789473684214</v>
      </c>
      <c r="J292" s="1"/>
      <c r="K292" s="1" t="s">
        <v>25</v>
      </c>
      <c r="L292" s="1"/>
      <c r="M292" s="4">
        <f t="shared" si="13"/>
        <v>74830.789473684214</v>
      </c>
      <c r="N292" s="2">
        <v>619</v>
      </c>
    </row>
    <row r="293" spans="1:14" x14ac:dyDescent="0.4">
      <c r="A293" s="1">
        <v>100292</v>
      </c>
      <c r="B293" s="1"/>
      <c r="C293" s="1"/>
      <c r="D293" s="1"/>
      <c r="E293" s="1"/>
      <c r="F293" s="1"/>
      <c r="G293" s="1">
        <v>10.5</v>
      </c>
      <c r="H293" s="1">
        <v>44.5</v>
      </c>
      <c r="I293" s="5">
        <f t="shared" si="14"/>
        <v>85196.578947368427</v>
      </c>
      <c r="J293" s="1"/>
      <c r="K293" s="1" t="s">
        <v>25</v>
      </c>
      <c r="L293" s="1"/>
      <c r="M293" s="4">
        <f t="shared" si="13"/>
        <v>85196.578947368427</v>
      </c>
      <c r="N293" s="2">
        <v>749</v>
      </c>
    </row>
    <row r="294" spans="1:14" ht="160.30000000000001" x14ac:dyDescent="0.4">
      <c r="A294" s="1">
        <v>100293</v>
      </c>
      <c r="B294" s="1"/>
      <c r="C294" s="1"/>
      <c r="D294" s="1" t="s">
        <v>6</v>
      </c>
      <c r="E294" s="1" t="s">
        <v>92</v>
      </c>
      <c r="F294" s="1" t="s">
        <v>98</v>
      </c>
      <c r="G294" s="1">
        <v>6</v>
      </c>
      <c r="H294" s="1">
        <v>38.5</v>
      </c>
      <c r="I294" s="5">
        <f t="shared" si="14"/>
        <v>85196.578947368427</v>
      </c>
      <c r="J294" s="1"/>
      <c r="K294" s="1" t="s">
        <v>32</v>
      </c>
      <c r="L294" s="9" t="s">
        <v>89</v>
      </c>
      <c r="M294" s="4">
        <f t="shared" si="13"/>
        <v>85196.578947368427</v>
      </c>
      <c r="N294" s="2">
        <v>749</v>
      </c>
    </row>
    <row r="295" spans="1:14" x14ac:dyDescent="0.4">
      <c r="A295" s="1">
        <v>100294</v>
      </c>
      <c r="B295" s="1"/>
      <c r="C295" s="1"/>
      <c r="D295" s="1"/>
      <c r="E295" s="1"/>
      <c r="F295" s="1"/>
      <c r="G295" s="1">
        <v>6.5</v>
      </c>
      <c r="H295" s="1">
        <v>39</v>
      </c>
      <c r="I295" s="5">
        <f t="shared" si="14"/>
        <v>160946.57894736843</v>
      </c>
      <c r="J295" s="1"/>
      <c r="K295" s="1" t="s">
        <v>25</v>
      </c>
      <c r="L295" s="1"/>
      <c r="M295" s="4">
        <f t="shared" si="13"/>
        <v>160946.57894736843</v>
      </c>
      <c r="N295" s="2">
        <v>1699</v>
      </c>
    </row>
    <row r="296" spans="1:14" x14ac:dyDescent="0.4">
      <c r="A296" s="1">
        <v>100295</v>
      </c>
      <c r="B296" s="1"/>
      <c r="C296" s="1"/>
      <c r="D296" s="1"/>
      <c r="E296" s="1"/>
      <c r="F296" s="1"/>
      <c r="G296" s="1">
        <v>7</v>
      </c>
      <c r="H296" s="1">
        <v>40</v>
      </c>
      <c r="I296" s="5">
        <f t="shared" si="14"/>
        <v>129051.84210526316</v>
      </c>
      <c r="J296" s="1"/>
      <c r="K296" s="1" t="s">
        <v>25</v>
      </c>
      <c r="L296" s="1"/>
      <c r="M296" s="4">
        <f t="shared" si="13"/>
        <v>129051.84210526316</v>
      </c>
      <c r="N296" s="2">
        <v>1299</v>
      </c>
    </row>
    <row r="297" spans="1:14" x14ac:dyDescent="0.4">
      <c r="A297" s="1">
        <v>100296</v>
      </c>
      <c r="B297" s="1"/>
      <c r="C297" s="1"/>
      <c r="D297" s="1"/>
      <c r="E297" s="1"/>
      <c r="F297" s="1"/>
      <c r="G297" s="1">
        <v>7.5</v>
      </c>
      <c r="H297" s="1">
        <v>40.5</v>
      </c>
      <c r="I297" s="5">
        <f t="shared" si="14"/>
        <v>95562.368421052641</v>
      </c>
      <c r="J297" s="1"/>
      <c r="K297" s="1" t="s">
        <v>25</v>
      </c>
      <c r="L297" s="1"/>
      <c r="M297" s="4">
        <f t="shared" si="13"/>
        <v>95562.368421052641</v>
      </c>
      <c r="N297" s="2">
        <v>879</v>
      </c>
    </row>
    <row r="298" spans="1:14" x14ac:dyDescent="0.4">
      <c r="A298" s="1">
        <v>100297</v>
      </c>
      <c r="B298" s="1"/>
      <c r="C298" s="1"/>
      <c r="D298" s="1"/>
      <c r="E298" s="1"/>
      <c r="F298" s="1"/>
      <c r="G298" s="1">
        <v>8</v>
      </c>
      <c r="H298" s="1">
        <v>41</v>
      </c>
      <c r="I298" s="5">
        <f t="shared" si="14"/>
        <v>93170.263157894748</v>
      </c>
      <c r="J298" s="1"/>
      <c r="K298" s="1" t="s">
        <v>25</v>
      </c>
      <c r="L298" s="1"/>
      <c r="M298" s="4">
        <f t="shared" si="13"/>
        <v>93170.263157894748</v>
      </c>
      <c r="N298" s="2">
        <v>849</v>
      </c>
    </row>
    <row r="299" spans="1:14" x14ac:dyDescent="0.4">
      <c r="A299" s="1">
        <v>100298</v>
      </c>
      <c r="B299" s="1"/>
      <c r="C299" s="1"/>
      <c r="D299" s="1"/>
      <c r="E299" s="1"/>
      <c r="F299" s="1"/>
      <c r="G299" s="1">
        <v>8.5</v>
      </c>
      <c r="H299" s="1">
        <v>42</v>
      </c>
      <c r="I299" s="5">
        <f t="shared" si="14"/>
        <v>83601.84210526316</v>
      </c>
      <c r="J299" s="1"/>
      <c r="K299" s="1" t="s">
        <v>25</v>
      </c>
      <c r="L299" s="1"/>
      <c r="M299" s="4">
        <f t="shared" si="13"/>
        <v>83601.84210526316</v>
      </c>
      <c r="N299" s="2">
        <v>729</v>
      </c>
    </row>
    <row r="300" spans="1:14" x14ac:dyDescent="0.4">
      <c r="A300" s="1">
        <v>100299</v>
      </c>
      <c r="B300" s="1"/>
      <c r="C300" s="1"/>
      <c r="D300" s="1"/>
      <c r="E300" s="1"/>
      <c r="F300" s="1"/>
      <c r="G300" s="1">
        <v>9</v>
      </c>
      <c r="H300" s="1">
        <v>42.5</v>
      </c>
      <c r="I300" s="5">
        <f t="shared" si="14"/>
        <v>88386.052631578947</v>
      </c>
      <c r="J300" s="1"/>
      <c r="K300" s="1" t="s">
        <v>25</v>
      </c>
      <c r="L300" s="1"/>
      <c r="M300" s="4">
        <f t="shared" si="13"/>
        <v>88386.052631578947</v>
      </c>
      <c r="N300" s="2">
        <v>789</v>
      </c>
    </row>
    <row r="301" spans="1:14" x14ac:dyDescent="0.4">
      <c r="A301" s="1">
        <v>100300</v>
      </c>
      <c r="B301" s="1"/>
      <c r="C301" s="1"/>
      <c r="D301" s="1"/>
      <c r="E301" s="1"/>
      <c r="F301" s="1"/>
      <c r="G301" s="1">
        <v>9.5</v>
      </c>
      <c r="H301" s="1">
        <v>43</v>
      </c>
      <c r="I301" s="5">
        <f t="shared" si="14"/>
        <v>81209.736842105267</v>
      </c>
      <c r="J301" s="1"/>
      <c r="K301" s="1" t="s">
        <v>25</v>
      </c>
      <c r="L301" s="1"/>
      <c r="M301" s="4">
        <f t="shared" si="13"/>
        <v>81209.736842105267</v>
      </c>
      <c r="N301" s="2">
        <v>699</v>
      </c>
    </row>
    <row r="302" spans="1:14" x14ac:dyDescent="0.4">
      <c r="A302" s="1">
        <v>100301</v>
      </c>
      <c r="B302" s="1"/>
      <c r="C302" s="1"/>
      <c r="D302" s="1"/>
      <c r="E302" s="1"/>
      <c r="F302" s="1"/>
      <c r="G302" s="1">
        <v>10</v>
      </c>
      <c r="H302" s="1">
        <v>44</v>
      </c>
      <c r="I302" s="5">
        <f t="shared" si="14"/>
        <v>81209.736842105267</v>
      </c>
      <c r="J302" s="1"/>
      <c r="K302" s="1" t="s">
        <v>25</v>
      </c>
      <c r="L302" s="1"/>
      <c r="M302" s="4">
        <f t="shared" si="13"/>
        <v>81209.736842105267</v>
      </c>
      <c r="N302" s="2">
        <v>699</v>
      </c>
    </row>
    <row r="303" spans="1:14" x14ac:dyDescent="0.4">
      <c r="A303" s="1">
        <v>100302</v>
      </c>
      <c r="B303" s="1"/>
      <c r="C303" s="1"/>
      <c r="D303" s="1"/>
      <c r="E303" s="1"/>
      <c r="F303" s="1"/>
      <c r="G303" s="1">
        <v>10.5</v>
      </c>
      <c r="H303" s="1">
        <v>44.5</v>
      </c>
      <c r="I303" s="5">
        <f t="shared" si="14"/>
        <v>68930.263157894733</v>
      </c>
      <c r="J303" s="1"/>
      <c r="K303" s="1" t="s">
        <v>25</v>
      </c>
      <c r="L303" s="1"/>
      <c r="M303" s="4">
        <f t="shared" si="13"/>
        <v>68930.263157894733</v>
      </c>
      <c r="N303" s="2">
        <v>545</v>
      </c>
    </row>
    <row r="304" spans="1:14" ht="160.30000000000001" x14ac:dyDescent="0.4">
      <c r="A304" s="1">
        <v>100303</v>
      </c>
      <c r="B304" s="1"/>
      <c r="C304" s="1"/>
      <c r="D304" s="1" t="s">
        <v>6</v>
      </c>
      <c r="E304" s="1" t="s">
        <v>99</v>
      </c>
      <c r="F304" s="1" t="s">
        <v>100</v>
      </c>
      <c r="G304" s="1">
        <v>6</v>
      </c>
      <c r="H304" s="1">
        <v>38.5</v>
      </c>
      <c r="I304" s="5">
        <f t="shared" si="14"/>
        <v>109915</v>
      </c>
      <c r="J304" s="1"/>
      <c r="K304" s="1" t="s">
        <v>25</v>
      </c>
      <c r="L304" s="9" t="s">
        <v>89</v>
      </c>
      <c r="M304" s="4">
        <f t="shared" si="13"/>
        <v>109915</v>
      </c>
      <c r="N304" s="2">
        <v>1059</v>
      </c>
    </row>
    <row r="305" spans="1:14" x14ac:dyDescent="0.4">
      <c r="A305" s="1">
        <v>100304</v>
      </c>
      <c r="B305" s="1"/>
      <c r="C305" s="1"/>
      <c r="D305" s="1"/>
      <c r="E305" s="1"/>
      <c r="F305" s="1"/>
      <c r="G305" s="1">
        <v>6.5</v>
      </c>
      <c r="H305" s="1">
        <v>39</v>
      </c>
      <c r="I305" s="5">
        <f t="shared" si="14"/>
        <v>104333.42105263159</v>
      </c>
      <c r="J305" s="1"/>
      <c r="K305" s="1" t="s">
        <v>25</v>
      </c>
      <c r="L305" s="1"/>
      <c r="M305" s="4">
        <f t="shared" si="13"/>
        <v>104333.42105263159</v>
      </c>
      <c r="N305" s="2">
        <v>989</v>
      </c>
    </row>
    <row r="306" spans="1:14" x14ac:dyDescent="0.4">
      <c r="A306" s="1">
        <v>100305</v>
      </c>
      <c r="B306" s="1"/>
      <c r="C306" s="1"/>
      <c r="D306" s="1"/>
      <c r="E306" s="1"/>
      <c r="F306" s="1"/>
      <c r="G306" s="1">
        <v>7</v>
      </c>
      <c r="H306" s="1">
        <v>40</v>
      </c>
      <c r="I306" s="5">
        <f t="shared" si="14"/>
        <v>84399.210526315786</v>
      </c>
      <c r="J306" s="1"/>
      <c r="K306" s="1" t="s">
        <v>25</v>
      </c>
      <c r="L306" s="1"/>
      <c r="M306" s="4">
        <f t="shared" si="13"/>
        <v>84399.210526315786</v>
      </c>
      <c r="N306" s="2">
        <v>739</v>
      </c>
    </row>
    <row r="307" spans="1:14" x14ac:dyDescent="0.4">
      <c r="A307" s="1">
        <v>100306</v>
      </c>
      <c r="B307" s="1"/>
      <c r="C307" s="1"/>
      <c r="D307" s="1"/>
      <c r="E307" s="1"/>
      <c r="F307" s="1"/>
      <c r="G307" s="1">
        <v>7.5</v>
      </c>
      <c r="H307" s="1">
        <v>40.5</v>
      </c>
      <c r="I307" s="5">
        <f t="shared" si="14"/>
        <v>76425.526315789481</v>
      </c>
      <c r="J307" s="1"/>
      <c r="K307" s="1" t="s">
        <v>25</v>
      </c>
      <c r="L307" s="1"/>
      <c r="M307" s="4">
        <f t="shared" si="13"/>
        <v>76425.526315789481</v>
      </c>
      <c r="N307" s="2">
        <v>639</v>
      </c>
    </row>
    <row r="308" spans="1:14" x14ac:dyDescent="0.4">
      <c r="A308" s="1">
        <v>100307</v>
      </c>
      <c r="B308" s="1"/>
      <c r="C308" s="1"/>
      <c r="D308" s="1"/>
      <c r="E308" s="1"/>
      <c r="F308" s="1"/>
      <c r="G308" s="1">
        <v>8</v>
      </c>
      <c r="H308" s="1">
        <v>41</v>
      </c>
      <c r="I308" s="5">
        <f t="shared" si="14"/>
        <v>70046.578947368427</v>
      </c>
      <c r="J308" s="1"/>
      <c r="K308" s="1" t="s">
        <v>25</v>
      </c>
      <c r="L308" s="1"/>
      <c r="M308" s="4">
        <f t="shared" si="13"/>
        <v>70046.578947368427</v>
      </c>
      <c r="N308" s="2">
        <v>559</v>
      </c>
    </row>
    <row r="309" spans="1:14" x14ac:dyDescent="0.4">
      <c r="A309" s="1">
        <v>100308</v>
      </c>
      <c r="B309" s="1"/>
      <c r="C309" s="1"/>
      <c r="D309" s="1"/>
      <c r="E309" s="1"/>
      <c r="F309" s="1"/>
      <c r="G309" s="1">
        <v>8.5</v>
      </c>
      <c r="H309" s="1">
        <v>42</v>
      </c>
      <c r="I309" s="5">
        <f t="shared" si="14"/>
        <v>67654.473684210534</v>
      </c>
      <c r="J309" s="1"/>
      <c r="K309" s="1" t="s">
        <v>25</v>
      </c>
      <c r="L309" s="1"/>
      <c r="M309" s="4">
        <f t="shared" si="13"/>
        <v>67654.473684210534</v>
      </c>
      <c r="N309" s="2">
        <v>529</v>
      </c>
    </row>
    <row r="310" spans="1:14" x14ac:dyDescent="0.4">
      <c r="A310" s="1">
        <v>100309</v>
      </c>
      <c r="B310" s="1"/>
      <c r="C310" s="1"/>
      <c r="D310" s="1"/>
      <c r="E310" s="1"/>
      <c r="F310" s="1"/>
      <c r="G310" s="1">
        <v>9</v>
      </c>
      <c r="H310" s="1">
        <v>42.5</v>
      </c>
      <c r="I310" s="5">
        <f t="shared" si="14"/>
        <v>70046.578947368427</v>
      </c>
      <c r="J310" s="1"/>
      <c r="K310" s="1" t="s">
        <v>25</v>
      </c>
      <c r="L310" s="1"/>
      <c r="M310" s="4">
        <f t="shared" si="13"/>
        <v>70046.578947368427</v>
      </c>
      <c r="N310" s="2">
        <v>559</v>
      </c>
    </row>
    <row r="311" spans="1:14" x14ac:dyDescent="0.4">
      <c r="A311" s="1">
        <v>100310</v>
      </c>
      <c r="B311" s="1"/>
      <c r="C311" s="1"/>
      <c r="D311" s="1"/>
      <c r="E311" s="1"/>
      <c r="F311" s="1"/>
      <c r="G311" s="1">
        <v>9.5</v>
      </c>
      <c r="H311" s="1">
        <v>43</v>
      </c>
      <c r="I311" s="5">
        <f t="shared" si="14"/>
        <v>70843.947368421053</v>
      </c>
      <c r="J311" s="1"/>
      <c r="K311" s="1" t="s">
        <v>25</v>
      </c>
      <c r="L311" s="1"/>
      <c r="M311" s="4">
        <f t="shared" si="13"/>
        <v>70843.947368421053</v>
      </c>
      <c r="N311" s="2">
        <v>569</v>
      </c>
    </row>
    <row r="312" spans="1:14" x14ac:dyDescent="0.4">
      <c r="A312" s="1">
        <v>100311</v>
      </c>
      <c r="B312" s="1"/>
      <c r="C312" s="1"/>
      <c r="D312" s="1"/>
      <c r="E312" s="1"/>
      <c r="F312" s="1"/>
      <c r="G312" s="1">
        <v>10</v>
      </c>
      <c r="H312" s="1">
        <v>44</v>
      </c>
      <c r="I312" s="5">
        <f t="shared" si="14"/>
        <v>80412.368421052641</v>
      </c>
      <c r="J312" s="1"/>
      <c r="K312" s="1" t="s">
        <v>25</v>
      </c>
      <c r="L312" s="1"/>
      <c r="M312" s="4">
        <f t="shared" si="13"/>
        <v>80412.368421052641</v>
      </c>
      <c r="N312" s="2">
        <v>689</v>
      </c>
    </row>
    <row r="313" spans="1:14" x14ac:dyDescent="0.4">
      <c r="A313" s="1">
        <v>100312</v>
      </c>
      <c r="B313" s="1"/>
      <c r="C313" s="1"/>
      <c r="D313" s="1"/>
      <c r="E313" s="1"/>
      <c r="F313" s="1"/>
      <c r="G313" s="1">
        <v>10.5</v>
      </c>
      <c r="H313" s="1">
        <v>44.5</v>
      </c>
      <c r="I313" s="5">
        <f t="shared" si="14"/>
        <v>66857.105263157893</v>
      </c>
      <c r="J313" s="1"/>
      <c r="K313" s="1" t="s">
        <v>25</v>
      </c>
      <c r="L313" s="1"/>
      <c r="M313" s="4">
        <f t="shared" si="13"/>
        <v>66857.105263157893</v>
      </c>
      <c r="N313" s="2">
        <v>519</v>
      </c>
    </row>
    <row r="314" spans="1:14" ht="247.75" x14ac:dyDescent="0.4">
      <c r="A314" s="1">
        <v>100313</v>
      </c>
      <c r="B314" s="1"/>
      <c r="C314" s="1" t="s">
        <v>101</v>
      </c>
      <c r="D314" s="1" t="s">
        <v>57</v>
      </c>
      <c r="E314" s="1" t="s">
        <v>102</v>
      </c>
      <c r="F314" s="1" t="s">
        <v>103</v>
      </c>
      <c r="G314" s="1">
        <v>4</v>
      </c>
      <c r="H314" s="1">
        <v>34.5</v>
      </c>
      <c r="I314" s="5">
        <f t="shared" si="14"/>
        <v>66857.105263157893</v>
      </c>
      <c r="J314" s="1"/>
      <c r="K314" s="1" t="s">
        <v>32</v>
      </c>
      <c r="L314" s="9" t="s">
        <v>105</v>
      </c>
      <c r="M314" s="4">
        <f t="shared" si="13"/>
        <v>66857.105263157893</v>
      </c>
      <c r="N314" s="2">
        <v>519</v>
      </c>
    </row>
    <row r="315" spans="1:14" x14ac:dyDescent="0.4">
      <c r="A315" s="1">
        <v>100314</v>
      </c>
      <c r="B315" s="1"/>
      <c r="C315" s="1"/>
      <c r="D315" s="1"/>
      <c r="E315" s="1"/>
      <c r="F315" s="1"/>
      <c r="G315" s="1">
        <v>4.5</v>
      </c>
      <c r="H315" s="1">
        <v>35</v>
      </c>
      <c r="I315" s="5">
        <f t="shared" si="14"/>
        <v>66857.105263157893</v>
      </c>
      <c r="J315" s="1"/>
      <c r="K315" s="1" t="s">
        <v>32</v>
      </c>
      <c r="L315" s="1"/>
      <c r="M315" s="4">
        <f t="shared" si="13"/>
        <v>66857.105263157893</v>
      </c>
      <c r="N315" s="2">
        <v>519</v>
      </c>
    </row>
    <row r="316" spans="1:14" x14ac:dyDescent="0.4">
      <c r="A316" s="1">
        <v>100315</v>
      </c>
      <c r="B316" s="1"/>
      <c r="C316" s="1"/>
      <c r="D316" s="1"/>
      <c r="E316" s="1"/>
      <c r="F316" s="1"/>
      <c r="G316" s="1">
        <v>5</v>
      </c>
      <c r="H316" s="1">
        <v>35.5</v>
      </c>
      <c r="I316" s="5">
        <f t="shared" si="14"/>
        <v>71641.315789473694</v>
      </c>
      <c r="J316" s="1"/>
      <c r="K316" s="1" t="s">
        <v>32</v>
      </c>
      <c r="L316" s="1"/>
      <c r="M316" s="4">
        <f t="shared" si="13"/>
        <v>71641.315789473694</v>
      </c>
      <c r="N316" s="2">
        <v>579</v>
      </c>
    </row>
    <row r="317" spans="1:14" x14ac:dyDescent="0.4">
      <c r="A317" s="1">
        <v>100316</v>
      </c>
      <c r="B317" s="1"/>
      <c r="C317" s="1"/>
      <c r="D317" s="1"/>
      <c r="E317" s="1"/>
      <c r="F317" s="1"/>
      <c r="G317" s="1">
        <v>5.5</v>
      </c>
      <c r="H317" s="1">
        <v>36</v>
      </c>
      <c r="I317" s="5">
        <f t="shared" si="14"/>
        <v>67654.473684210534</v>
      </c>
      <c r="J317" s="1"/>
      <c r="K317" s="1" t="s">
        <v>25</v>
      </c>
      <c r="L317" s="1"/>
      <c r="M317" s="4">
        <f t="shared" si="13"/>
        <v>67654.473684210534</v>
      </c>
      <c r="N317" s="2">
        <v>529</v>
      </c>
    </row>
    <row r="318" spans="1:14" x14ac:dyDescent="0.4">
      <c r="A318" s="1">
        <v>100317</v>
      </c>
      <c r="B318" s="1"/>
      <c r="C318" s="1"/>
      <c r="D318" s="1"/>
      <c r="E318" s="1"/>
      <c r="F318" s="1"/>
      <c r="G318" s="1">
        <v>6</v>
      </c>
      <c r="H318" s="1">
        <v>36.5</v>
      </c>
      <c r="I318" s="5">
        <f t="shared" si="14"/>
        <v>65262.368421052633</v>
      </c>
      <c r="J318" s="1"/>
      <c r="K318" s="1" t="s">
        <v>25</v>
      </c>
      <c r="L318" s="1"/>
      <c r="M318" s="4">
        <f t="shared" si="13"/>
        <v>65262.368421052633</v>
      </c>
      <c r="N318" s="2">
        <v>499</v>
      </c>
    </row>
    <row r="319" spans="1:14" x14ac:dyDescent="0.4">
      <c r="A319" s="1">
        <v>100318</v>
      </c>
      <c r="B319" s="1"/>
      <c r="C319" s="1"/>
      <c r="D319" s="1"/>
      <c r="E319" s="1"/>
      <c r="F319" s="1"/>
      <c r="G319" s="1">
        <v>6.5</v>
      </c>
      <c r="H319" s="1">
        <v>37.5</v>
      </c>
      <c r="I319" s="5">
        <f t="shared" si="14"/>
        <v>64465</v>
      </c>
      <c r="J319" s="1"/>
      <c r="K319" s="1" t="s">
        <v>25</v>
      </c>
      <c r="L319" s="1"/>
      <c r="M319" s="4">
        <f t="shared" si="13"/>
        <v>64465</v>
      </c>
      <c r="N319" s="2">
        <v>489</v>
      </c>
    </row>
    <row r="320" spans="1:14" x14ac:dyDescent="0.4">
      <c r="A320" s="1">
        <v>100319</v>
      </c>
      <c r="B320" s="1"/>
      <c r="C320" s="1"/>
      <c r="D320" s="1"/>
      <c r="E320" s="1"/>
      <c r="F320" s="1"/>
      <c r="G320" s="1">
        <v>7</v>
      </c>
      <c r="H320" s="1">
        <v>38</v>
      </c>
      <c r="I320" s="5">
        <f t="shared" si="14"/>
        <v>64465</v>
      </c>
      <c r="J320" s="1"/>
      <c r="K320" s="1" t="s">
        <v>25</v>
      </c>
      <c r="L320" s="1"/>
      <c r="M320" s="4">
        <f t="shared" si="13"/>
        <v>64465</v>
      </c>
      <c r="N320" s="2">
        <v>489</v>
      </c>
    </row>
    <row r="321" spans="1:14" x14ac:dyDescent="0.4">
      <c r="A321" s="1">
        <v>100320</v>
      </c>
      <c r="B321" s="1"/>
      <c r="C321" s="1"/>
      <c r="D321" s="1"/>
      <c r="E321" s="1"/>
      <c r="F321" s="1"/>
      <c r="G321" s="1">
        <v>7.5</v>
      </c>
      <c r="H321" s="1">
        <v>38.5</v>
      </c>
      <c r="I321" s="5">
        <f t="shared" si="14"/>
        <v>63667.631578947374</v>
      </c>
      <c r="J321" s="1"/>
      <c r="K321" s="1" t="s">
        <v>25</v>
      </c>
      <c r="L321" s="1"/>
      <c r="M321" s="4">
        <f t="shared" si="13"/>
        <v>63667.631578947374</v>
      </c>
      <c r="N321" s="2">
        <v>479</v>
      </c>
    </row>
    <row r="322" spans="1:14" x14ac:dyDescent="0.4">
      <c r="A322" s="1">
        <v>100321</v>
      </c>
      <c r="B322" s="1"/>
      <c r="C322" s="1"/>
      <c r="D322" s="1"/>
      <c r="E322" s="1"/>
      <c r="F322" s="1"/>
      <c r="G322" s="1">
        <v>8</v>
      </c>
      <c r="H322" s="1">
        <v>39</v>
      </c>
      <c r="I322" s="5">
        <f t="shared" si="14"/>
        <v>76425.526315789481</v>
      </c>
      <c r="J322" s="1"/>
      <c r="K322" s="1" t="s">
        <v>25</v>
      </c>
      <c r="L322" s="1"/>
      <c r="M322" s="4">
        <f t="shared" si="13"/>
        <v>76425.526315789481</v>
      </c>
      <c r="N322" s="2">
        <v>639</v>
      </c>
    </row>
    <row r="323" spans="1:14" x14ac:dyDescent="0.4">
      <c r="A323" s="1">
        <v>100322</v>
      </c>
      <c r="B323" s="1"/>
      <c r="C323" s="1"/>
      <c r="D323" s="1"/>
      <c r="E323" s="1"/>
      <c r="F323" s="1"/>
      <c r="G323" s="1">
        <v>8.5</v>
      </c>
      <c r="H323" s="1">
        <v>40</v>
      </c>
      <c r="I323" s="5">
        <f t="shared" si="14"/>
        <v>73236.052631578947</v>
      </c>
      <c r="J323" s="1"/>
      <c r="K323" s="1" t="s">
        <v>25</v>
      </c>
      <c r="L323" s="1"/>
      <c r="M323" s="4">
        <f t="shared" si="13"/>
        <v>73236.052631578947</v>
      </c>
      <c r="N323" s="2">
        <v>599</v>
      </c>
    </row>
    <row r="324" spans="1:14" x14ac:dyDescent="0.4">
      <c r="A324" s="1">
        <v>100323</v>
      </c>
      <c r="B324" s="1"/>
      <c r="C324" s="1"/>
      <c r="D324" s="1"/>
      <c r="E324" s="1"/>
      <c r="F324" s="1"/>
      <c r="G324" s="1">
        <v>9</v>
      </c>
      <c r="H324" s="1">
        <v>40.5</v>
      </c>
      <c r="I324" s="5">
        <f t="shared" si="14"/>
        <v>73236.052631578947</v>
      </c>
      <c r="J324" s="1"/>
      <c r="K324" s="1" t="s">
        <v>25</v>
      </c>
      <c r="L324" s="1"/>
      <c r="M324" s="4">
        <f t="shared" si="13"/>
        <v>73236.052631578947</v>
      </c>
      <c r="N324" s="2">
        <v>599</v>
      </c>
    </row>
    <row r="325" spans="1:14" x14ac:dyDescent="0.4">
      <c r="A325" s="1">
        <v>100324</v>
      </c>
      <c r="B325" s="1"/>
      <c r="C325" s="1"/>
      <c r="D325" s="1"/>
      <c r="E325" s="1"/>
      <c r="F325" s="1"/>
      <c r="G325" s="1">
        <v>9.5</v>
      </c>
      <c r="H325" s="1">
        <v>41</v>
      </c>
      <c r="I325" s="5">
        <f t="shared" si="14"/>
        <v>79615</v>
      </c>
      <c r="J325" s="1"/>
      <c r="K325" s="1" t="s">
        <v>25</v>
      </c>
      <c r="L325" s="1"/>
      <c r="M325" s="4">
        <f t="shared" si="13"/>
        <v>79615</v>
      </c>
      <c r="N325" s="2">
        <v>679</v>
      </c>
    </row>
    <row r="326" spans="1:14" ht="247.75" x14ac:dyDescent="0.4">
      <c r="A326" s="11">
        <v>100325</v>
      </c>
      <c r="D326" s="2" t="s">
        <v>57</v>
      </c>
      <c r="E326" s="2" t="s">
        <v>7</v>
      </c>
      <c r="F326" s="2" t="s">
        <v>104</v>
      </c>
      <c r="G326" s="1">
        <v>5</v>
      </c>
      <c r="H326" s="1">
        <v>35.5</v>
      </c>
      <c r="I326" s="5">
        <f t="shared" si="14"/>
        <v>62870.26315789474</v>
      </c>
      <c r="K326" s="1" t="s">
        <v>25</v>
      </c>
      <c r="L326" s="13" t="s">
        <v>105</v>
      </c>
      <c r="M326" s="4">
        <f t="shared" si="13"/>
        <v>62870.26315789474</v>
      </c>
      <c r="N326" s="2">
        <v>469</v>
      </c>
    </row>
    <row r="327" spans="1:14" x14ac:dyDescent="0.4">
      <c r="A327" s="1">
        <v>100326</v>
      </c>
      <c r="G327" s="1">
        <v>5.5</v>
      </c>
      <c r="H327" s="1">
        <v>36</v>
      </c>
      <c r="I327" s="5">
        <f t="shared" si="14"/>
        <v>61275.526315789473</v>
      </c>
      <c r="K327" s="1" t="s">
        <v>25</v>
      </c>
      <c r="M327" s="4">
        <f t="shared" si="13"/>
        <v>61275.526315789473</v>
      </c>
      <c r="N327" s="2">
        <v>449</v>
      </c>
    </row>
    <row r="328" spans="1:14" x14ac:dyDescent="0.4">
      <c r="A328" s="1">
        <v>100327</v>
      </c>
      <c r="G328" s="1">
        <v>6</v>
      </c>
      <c r="H328" s="1">
        <v>36.5</v>
      </c>
      <c r="I328" s="5">
        <f t="shared" si="14"/>
        <v>61275.526315789473</v>
      </c>
      <c r="K328" s="1" t="s">
        <v>25</v>
      </c>
      <c r="M328" s="4">
        <f t="shared" si="13"/>
        <v>61275.526315789473</v>
      </c>
      <c r="N328" s="2">
        <v>449</v>
      </c>
    </row>
    <row r="329" spans="1:14" x14ac:dyDescent="0.4">
      <c r="A329" s="1">
        <v>100328</v>
      </c>
      <c r="G329" s="1">
        <v>6.5</v>
      </c>
      <c r="H329" s="1">
        <v>37.5</v>
      </c>
      <c r="I329" s="5">
        <f t="shared" si="14"/>
        <v>69249.210526315786</v>
      </c>
      <c r="K329" s="1" t="s">
        <v>25</v>
      </c>
      <c r="M329" s="4">
        <f t="shared" si="13"/>
        <v>69249.210526315786</v>
      </c>
      <c r="N329" s="2">
        <v>549</v>
      </c>
    </row>
    <row r="330" spans="1:14" x14ac:dyDescent="0.4">
      <c r="A330" s="1">
        <v>100329</v>
      </c>
      <c r="G330" s="1">
        <v>7</v>
      </c>
      <c r="H330" s="1">
        <v>38</v>
      </c>
      <c r="I330" s="5">
        <f t="shared" si="14"/>
        <v>67096.315789473694</v>
      </c>
      <c r="K330" s="1" t="s">
        <v>25</v>
      </c>
      <c r="M330" s="4">
        <f t="shared" si="13"/>
        <v>67096.315789473694</v>
      </c>
      <c r="N330" s="2">
        <v>522</v>
      </c>
    </row>
    <row r="331" spans="1:14" x14ac:dyDescent="0.4">
      <c r="G331" s="1">
        <v>7.5</v>
      </c>
      <c r="H331" s="1">
        <v>38.5</v>
      </c>
      <c r="I331" s="5">
        <f t="shared" si="14"/>
        <v>62790.526315789473</v>
      </c>
      <c r="K331" s="1" t="s">
        <v>25</v>
      </c>
      <c r="M331" s="4">
        <f t="shared" si="13"/>
        <v>62790.526315789473</v>
      </c>
      <c r="N331" s="2">
        <v>468</v>
      </c>
    </row>
    <row r="332" spans="1:14" x14ac:dyDescent="0.4">
      <c r="G332" s="1">
        <v>8</v>
      </c>
      <c r="H332" s="1">
        <v>39</v>
      </c>
      <c r="I332" s="5">
        <f t="shared" si="14"/>
        <v>63667.631578947374</v>
      </c>
      <c r="K332" s="1" t="s">
        <v>25</v>
      </c>
      <c r="M332" s="4">
        <f t="shared" si="13"/>
        <v>63667.631578947374</v>
      </c>
      <c r="N332" s="2">
        <v>479</v>
      </c>
    </row>
    <row r="333" spans="1:14" x14ac:dyDescent="0.4">
      <c r="G333" s="1">
        <v>8.5</v>
      </c>
      <c r="H333" s="1">
        <v>40</v>
      </c>
      <c r="I333" s="5">
        <f t="shared" si="14"/>
        <v>64465</v>
      </c>
      <c r="K333" s="1" t="s">
        <v>25</v>
      </c>
      <c r="M333" s="4">
        <f t="shared" si="13"/>
        <v>64465</v>
      </c>
      <c r="N333" s="2">
        <v>489</v>
      </c>
    </row>
    <row r="334" spans="1:14" x14ac:dyDescent="0.4">
      <c r="G334" s="1">
        <v>9</v>
      </c>
      <c r="H334" s="1">
        <v>40.5</v>
      </c>
      <c r="I334" s="5">
        <f t="shared" si="14"/>
        <v>68451.84210526316</v>
      </c>
      <c r="K334" s="1" t="s">
        <v>25</v>
      </c>
      <c r="M334" s="4">
        <f t="shared" si="13"/>
        <v>68451.84210526316</v>
      </c>
      <c r="N334" s="2">
        <v>539</v>
      </c>
    </row>
    <row r="335" spans="1:14" x14ac:dyDescent="0.4">
      <c r="G335" s="1">
        <v>9.5</v>
      </c>
      <c r="H335" s="1">
        <v>41</v>
      </c>
      <c r="I335" s="5">
        <f t="shared" si="14"/>
        <v>74830.789473684214</v>
      </c>
      <c r="K335" s="1" t="s">
        <v>25</v>
      </c>
      <c r="M335" s="4">
        <f t="shared" si="13"/>
        <v>74830.789473684214</v>
      </c>
      <c r="N335" s="2">
        <v>619</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topLeftCell="A10"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0"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c r="D11" s="1"/>
      <c r="E11" s="1"/>
      <c r="F11" s="1"/>
      <c r="G11" s="1"/>
      <c r="H11" s="1"/>
      <c r="I11" s="5"/>
      <c r="J11" s="1"/>
      <c r="K11" s="1"/>
      <c r="L11" s="1"/>
      <c r="M11" s="4"/>
      <c r="N11" s="2"/>
    </row>
    <row r="12" spans="1:14" x14ac:dyDescent="0.4">
      <c r="A12" s="1">
        <v>900011</v>
      </c>
      <c r="B12" s="1"/>
      <c r="C12" s="1"/>
      <c r="D12" s="1"/>
      <c r="E12" s="1"/>
      <c r="F12" s="1"/>
      <c r="G12" s="1"/>
      <c r="H12" s="1"/>
      <c r="I12" s="5"/>
      <c r="J12" s="1"/>
      <c r="K12" s="1"/>
      <c r="L12" s="1"/>
      <c r="M12" s="4"/>
      <c r="N12" s="2"/>
    </row>
    <row r="13" spans="1:14" x14ac:dyDescent="0.4">
      <c r="A13" s="1">
        <v>900012</v>
      </c>
      <c r="B13" s="1"/>
      <c r="C13" s="1"/>
      <c r="D13" s="1"/>
      <c r="E13" s="1"/>
      <c r="F13" s="1"/>
      <c r="G13" s="1"/>
      <c r="H13" s="1"/>
      <c r="I13" s="5"/>
      <c r="J13" s="1"/>
      <c r="K13" s="1"/>
      <c r="L13" s="1"/>
      <c r="M13" s="4"/>
      <c r="N13" s="2"/>
    </row>
    <row r="14" spans="1:14" x14ac:dyDescent="0.4">
      <c r="A14" s="1">
        <v>900013</v>
      </c>
      <c r="B14" s="1"/>
      <c r="C14" s="1"/>
      <c r="D14" s="1"/>
      <c r="E14" s="1"/>
      <c r="F14" s="1"/>
      <c r="G14" s="1"/>
      <c r="H14" s="1"/>
      <c r="I14" s="5"/>
      <c r="J14" s="1"/>
      <c r="K14" s="1"/>
      <c r="L14" s="1"/>
      <c r="M14" s="4"/>
      <c r="N14" s="2"/>
    </row>
    <row r="15" spans="1:14" x14ac:dyDescent="0.4">
      <c r="A15" s="1">
        <v>900014</v>
      </c>
      <c r="B15" s="1"/>
      <c r="C15" s="1"/>
      <c r="D15" s="1"/>
      <c r="E15" s="1"/>
      <c r="F15" s="1"/>
      <c r="G15" s="1"/>
      <c r="H15" s="1"/>
      <c r="I15" s="5"/>
      <c r="J15" s="1"/>
      <c r="K15" s="1"/>
      <c r="L15" s="1"/>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topLeftCell="A3"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1"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9</vt:i4>
      </vt:variant>
    </vt:vector>
  </HeadingPairs>
  <TitlesOfParts>
    <vt:vector size="9" baseType="lpstr">
      <vt:lpstr>Nike</vt:lpstr>
      <vt:lpstr>Mizuno</vt:lpstr>
      <vt:lpstr>Hoka</vt:lpstr>
      <vt:lpstr>The North Face</vt:lpstr>
      <vt:lpstr>Timberland</vt:lpstr>
      <vt:lpstr>Adidas</vt:lpstr>
      <vt:lpstr>Native</vt:lpstr>
      <vt:lpstr>Dickies</vt:lpstr>
      <vt:lpstr>Skechers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2025-12-09T10:39:03Z</dcterms:modified>
</cp:coreProperties>
</file>