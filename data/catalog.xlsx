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A073F971-BD2A-424D-91EF-A958D336DF0B}" xr6:coauthVersionLast="47" xr6:coauthVersionMax="47" xr10:uidLastSave="{00000000-0000-0000-0000-000000000000}"/>
  <bookViews>
    <workbookView xWindow="-103" yWindow="-103" windowWidth="22149" windowHeight="11829" activeTab="3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0" i="7" l="1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I10" i="6"/>
  <c r="I11" i="6"/>
  <c r="I12" i="6"/>
  <c r="I13" i="6"/>
  <c r="I14" i="6"/>
  <c r="I15" i="6"/>
  <c r="I16" i="6"/>
  <c r="I17" i="6"/>
  <c r="M16" i="6"/>
  <c r="M17" i="6"/>
  <c r="I3" i="6"/>
  <c r="I4" i="6"/>
  <c r="I5" i="6"/>
  <c r="I6" i="6"/>
  <c r="I7" i="6"/>
  <c r="I8" i="6"/>
  <c r="I9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<sst xmlns="http://schemas.openxmlformats.org/spreadsheetml/2006/main" count="155" uniqueCount="41">
  <si>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</si>
  <si>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</si>
  <si>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</si>
  <si>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</si>
  <si>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</si>
  <si>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</si>
  <si>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</si>
  <si>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</si>
  <si>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</si>
  <si>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</si>
  <si>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</si>
  <si>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>green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</si>
  <si>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</si>
  <si>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</si>
  <si>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</si>
  <si>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</si>
  <si>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</si>
  <si>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</si>
  <si>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</si>
  <si>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</si>
  <si>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</si>
  <si>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</si>
  <si>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</si>
  <si>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</si>
  <si>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</si>
  <si>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</si>
  <si>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</si>
  <si>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</si>
  <si>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</si>
  <si>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</si>
  <si>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</si>
  <si>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</si>
  <si>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</si>
  <si>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</si>
  <si>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</si>
  <si>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</si>
  <si>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</si>
  <si>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</si>
  <si>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THE NORTH FACE GLENCLYFFE</t>
  </si>
  <si>
    <t>700001_1 700001_2 700001_3 700001_4</t>
  </si>
  <si>
    <t>unisex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</si>
</sst>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L15"/>
  <sheetViews>
    <sheetView workbookViewId="0">
      <selection activeCell="H19" sqref="H19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29.07421875" style="2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2" x14ac:dyDescent="0.4">
      <c r="A2" s="1">
        <v>100001</v>
      </c>
      <c r="B2" s="1" t="s">
        <v>4</v>
      </c>
      <c r="C2" s="1" t="s">
        <v>12</v>
      </c>
      <c r="D2" s="1" t="s">
        <v>6</v>
      </c>
      <c r="E2" s="1" t="s">
        <v>7</v>
      </c>
      <c r="F2" s="1" t="s">
        <v>22</v>
      </c>
      <c r="G2" s="1">
        <v>1</v>
      </c>
      <c r="H2" s="1"/>
      <c r="I2" s="1">
        <v>50000</v>
      </c>
      <c r="J2" s="1"/>
      <c r="K2" s="1" t="s">
        <v>26</v>
      </c>
      <c r="L2" s="1"/>
    </row>
    <row r="3" spans="1:12" x14ac:dyDescent="0.4">
      <c r="A3" s="1">
        <v>100002</v>
      </c>
      <c r="B3" s="1"/>
      <c r="C3" s="1"/>
      <c r="D3" s="1"/>
      <c r="E3" s="1"/>
      <c r="F3" s="1"/>
      <c r="G3" s="1">
        <v>2</v>
      </c>
      <c r="H3" s="1"/>
      <c r="I3" s="1">
        <v>50000</v>
      </c>
      <c r="J3" s="1"/>
      <c r="K3" s="1" t="s">
        <v>26</v>
      </c>
      <c r="L3" s="1"/>
    </row>
    <row r="4" spans="1:12" x14ac:dyDescent="0.4">
      <c r="A4" s="1">
        <v>100003</v>
      </c>
      <c r="B4" s="1"/>
      <c r="C4" s="1"/>
      <c r="D4" s="1"/>
      <c r="E4" s="1"/>
      <c r="F4" s="1"/>
      <c r="G4" s="1">
        <v>3</v>
      </c>
      <c r="H4" s="1"/>
      <c r="I4" s="1">
        <v>50000</v>
      </c>
      <c r="J4" s="1"/>
      <c r="K4" s="1" t="s">
        <v>26</v>
      </c>
      <c r="L4" s="1"/>
    </row>
    <row r="5" spans="1:12" x14ac:dyDescent="0.4">
      <c r="A5" s="1">
        <v>100004</v>
      </c>
      <c r="B5" s="1"/>
      <c r="C5" s="1"/>
      <c r="D5" s="1"/>
      <c r="E5" s="1"/>
      <c r="F5" s="1"/>
      <c r="G5" s="1">
        <v>4</v>
      </c>
      <c r="H5" s="1"/>
      <c r="I5" s="1">
        <v>50000</v>
      </c>
      <c r="J5" s="1"/>
      <c r="K5" s="1" t="s">
        <v>26</v>
      </c>
      <c r="L5" s="1"/>
    </row>
    <row r="6" spans="1:12" x14ac:dyDescent="0.4">
      <c r="A6" s="1">
        <v>100005</v>
      </c>
      <c r="B6" s="1"/>
      <c r="C6" s="1"/>
      <c r="D6" s="1"/>
      <c r="E6" s="1"/>
      <c r="F6" s="1"/>
      <c r="G6" s="1">
        <v>5</v>
      </c>
      <c r="H6" s="1"/>
      <c r="I6" s="1">
        <v>50000</v>
      </c>
      <c r="J6" s="1"/>
      <c r="K6" s="1" t="s">
        <v>26</v>
      </c>
      <c r="L6" s="1"/>
    </row>
    <row r="7" spans="1:12" x14ac:dyDescent="0.4">
      <c r="A7" s="1">
        <v>100006</v>
      </c>
      <c r="B7" s="1"/>
      <c r="C7" s="1"/>
      <c r="D7" s="1"/>
      <c r="E7" s="1"/>
      <c r="F7" s="1"/>
      <c r="G7" s="1">
        <v>6</v>
      </c>
      <c r="H7" s="1"/>
      <c r="I7" s="1">
        <v>50000</v>
      </c>
      <c r="J7" s="1"/>
      <c r="K7" s="1" t="s">
        <v>26</v>
      </c>
      <c r="L7" s="1"/>
    </row>
    <row r="8" spans="1:12" x14ac:dyDescent="0.4">
      <c r="A8" s="1">
        <v>100007</v>
      </c>
      <c r="B8" s="1"/>
      <c r="C8" s="1"/>
      <c r="D8" s="1"/>
      <c r="E8" s="1"/>
      <c r="F8" s="1"/>
      <c r="G8" s="1">
        <v>7</v>
      </c>
      <c r="H8" s="1"/>
      <c r="I8" s="1">
        <v>50000</v>
      </c>
      <c r="J8" s="1"/>
      <c r="K8" s="1" t="s">
        <v>26</v>
      </c>
      <c r="L8" s="1"/>
    </row>
    <row r="9" spans="1:12" x14ac:dyDescent="0.4">
      <c r="A9" s="1">
        <v>100008</v>
      </c>
      <c r="B9" s="1"/>
      <c r="C9" s="1"/>
      <c r="D9" s="1"/>
      <c r="E9" s="1" t="s">
        <v>11</v>
      </c>
      <c r="F9" s="1"/>
      <c r="G9" s="1">
        <v>1</v>
      </c>
      <c r="H9" s="1"/>
      <c r="I9" s="1">
        <v>50000</v>
      </c>
      <c r="J9" s="1"/>
      <c r="K9" s="1" t="s">
        <v>26</v>
      </c>
      <c r="L9" s="1"/>
    </row>
    <row r="10" spans="1:12" x14ac:dyDescent="0.4">
      <c r="A10" s="1">
        <v>100009</v>
      </c>
      <c r="B10" s="1"/>
      <c r="C10" s="1"/>
      <c r="D10" s="1"/>
      <c r="E10" s="1"/>
      <c r="F10" s="1"/>
      <c r="G10" s="1">
        <v>2</v>
      </c>
      <c r="H10" s="1"/>
      <c r="I10" s="1">
        <v>50000</v>
      </c>
      <c r="J10" s="1"/>
      <c r="K10" s="1" t="s">
        <v>26</v>
      </c>
      <c r="L10" s="1"/>
    </row>
    <row r="11" spans="1:12" x14ac:dyDescent="0.4">
      <c r="A11" s="1">
        <v>100010</v>
      </c>
      <c r="B11" s="1"/>
      <c r="C11" s="1"/>
      <c r="D11" s="1"/>
      <c r="E11" s="1"/>
      <c r="F11" s="1"/>
      <c r="G11" s="1">
        <v>3</v>
      </c>
      <c r="H11" s="1"/>
      <c r="I11" s="1">
        <v>50000</v>
      </c>
      <c r="J11" s="1"/>
      <c r="K11" s="1" t="s">
        <v>26</v>
      </c>
      <c r="L11" s="1"/>
    </row>
    <row r="12" spans="1:12" x14ac:dyDescent="0.4">
      <c r="A12" s="1">
        <v>100011</v>
      </c>
      <c r="B12" s="1"/>
      <c r="C12" s="1"/>
      <c r="D12" s="1"/>
      <c r="E12" s="1"/>
      <c r="F12" s="1"/>
      <c r="G12" s="1">
        <v>4</v>
      </c>
      <c r="H12" s="1"/>
      <c r="I12" s="1">
        <v>50000</v>
      </c>
      <c r="J12" s="1"/>
      <c r="K12" s="1" t="s">
        <v>26</v>
      </c>
      <c r="L12" s="1"/>
    </row>
    <row r="13" spans="1:12" x14ac:dyDescent="0.4">
      <c r="A13" s="1">
        <v>100012</v>
      </c>
      <c r="B13" s="1"/>
      <c r="C13" s="1"/>
      <c r="D13" s="1"/>
      <c r="E13" s="1"/>
      <c r="F13" s="1"/>
      <c r="G13" s="1">
        <v>5</v>
      </c>
      <c r="H13" s="1"/>
      <c r="I13" s="1">
        <v>50000</v>
      </c>
      <c r="J13" s="1"/>
      <c r="K13" s="1" t="s">
        <v>26</v>
      </c>
      <c r="L13" s="1"/>
    </row>
    <row r="14" spans="1:12" x14ac:dyDescent="0.4">
      <c r="A14" s="1">
        <v>100013</v>
      </c>
      <c r="B14" s="1"/>
      <c r="C14" s="1"/>
      <c r="D14" s="1"/>
      <c r="E14" s="1"/>
      <c r="F14" s="1"/>
      <c r="G14" s="1">
        <v>6</v>
      </c>
      <c r="H14" s="1"/>
      <c r="I14" s="1">
        <v>50000</v>
      </c>
      <c r="J14" s="1"/>
      <c r="K14" s="1" t="s">
        <v>26</v>
      </c>
      <c r="L14" s="1"/>
    </row>
    <row r="15" spans="1:12" x14ac:dyDescent="0.4">
      <c r="A15" s="1">
        <v>100014</v>
      </c>
      <c r="B15" s="1"/>
      <c r="C15" s="1"/>
      <c r="D15" s="1"/>
      <c r="E15" s="1"/>
      <c r="F15" s="1"/>
      <c r="G15" s="1">
        <v>7</v>
      </c>
      <c r="H15" s="1"/>
      <c r="I15" s="1">
        <v>50000</v>
      </c>
      <c r="J15" s="1"/>
      <c r="K15" s="1" t="s">
        <v>26</v>
      </c>
      <c r="L1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topLeftCell="A16"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2" x14ac:dyDescent="0.4">
      <c r="A2" s="1">
        <v>500001</v>
      </c>
      <c r="B2" s="1" t="s">
        <v>5</v>
      </c>
      <c r="C2" s="1" t="s">
        <v>19</v>
      </c>
      <c r="D2" s="1" t="s">
        <v>6</v>
      </c>
      <c r="E2" s="1" t="s">
        <v>14</v>
      </c>
      <c r="F2" s="1" t="s">
        <v>23</v>
      </c>
      <c r="G2" s="1">
        <v>1</v>
      </c>
      <c r="H2" s="1"/>
      <c r="I2" s="1">
        <v>60000</v>
      </c>
      <c r="J2" s="1"/>
      <c r="K2" s="1" t="s">
        <v>26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26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26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26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26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26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26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27</v>
      </c>
      <c r="G9" s="1">
        <v>1</v>
      </c>
      <c r="H9" s="1"/>
      <c r="I9" s="1">
        <v>60000</v>
      </c>
      <c r="J9" s="1"/>
      <c r="K9" s="1" t="s">
        <v>26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26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26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26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26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26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26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26</v>
      </c>
      <c r="L16" s="1"/>
    </row>
    <row r="17" spans="1:12" x14ac:dyDescent="0.4">
      <c r="A17" s="1">
        <v>500101</v>
      </c>
      <c r="B17" s="1" t="s">
        <v>5</v>
      </c>
      <c r="C17" s="1" t="s">
        <v>18</v>
      </c>
      <c r="D17" s="1" t="s">
        <v>6</v>
      </c>
      <c r="E17" s="1" t="s">
        <v>16</v>
      </c>
      <c r="F17" s="1" t="s">
        <v>24</v>
      </c>
      <c r="G17" s="1">
        <v>1</v>
      </c>
      <c r="H17" s="1"/>
      <c r="I17" s="1">
        <v>60000</v>
      </c>
      <c r="J17" s="1"/>
      <c r="K17" s="1" t="s">
        <v>26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26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26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26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26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26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26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26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26</v>
      </c>
      <c r="L25" s="1"/>
    </row>
    <row r="26" spans="1:12" x14ac:dyDescent="0.4">
      <c r="A26" s="1">
        <v>500201</v>
      </c>
      <c r="B26" s="1" t="s">
        <v>5</v>
      </c>
      <c r="C26" s="1" t="s">
        <v>17</v>
      </c>
      <c r="D26" s="1" t="s">
        <v>6</v>
      </c>
      <c r="E26" s="1" t="s">
        <v>15</v>
      </c>
      <c r="F26" s="1" t="s">
        <v>25</v>
      </c>
      <c r="G26" s="1">
        <v>1</v>
      </c>
      <c r="H26" s="1"/>
      <c r="I26" s="1">
        <v>60000</v>
      </c>
      <c r="J26" s="1"/>
      <c r="K26" s="1" t="s">
        <v>26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26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26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26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26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26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26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26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sqref="A1:N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4" x14ac:dyDescent="0.4">
      <c r="A2" s="1">
        <v>600001</v>
      </c>
      <c r="B2" s="1" t="s">
        <v>30</v>
      </c>
      <c r="C2" s="1" t="s">
        <v>35</v>
      </c>
      <c r="D2" s="1" t="s">
        <v>6</v>
      </c>
      <c r="E2" s="1" t="s">
        <v>31</v>
      </c>
      <c r="F2" s="1" t="s">
        <v>32</v>
      </c>
      <c r="G2" s="1">
        <v>7</v>
      </c>
      <c r="H2" s="1">
        <v>40</v>
      </c>
      <c r="I2" s="6">
        <f>M2</f>
        <v>176175.5263157895</v>
      </c>
      <c r="J2" s="1"/>
      <c r="K2" s="1" t="s">
        <v>26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26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33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26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26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26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26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26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34</v>
      </c>
      <c r="D10" s="1"/>
      <c r="E10" s="1" t="s">
        <v>31</v>
      </c>
      <c r="F10" s="1" t="s">
        <v>36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26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26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26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26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26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26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26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26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8"/>
  <sheetViews>
    <sheetView tabSelected="1" workbookViewId="0">
      <selection activeCell="P10" sqref="P10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  <c r="M1" s="2"/>
      <c r="N1" s="2"/>
    </row>
    <row r="2" spans="1:14" x14ac:dyDescent="0.4">
      <c r="A2" s="1">
        <v>700001</v>
      </c>
      <c r="B2" s="1" t="s">
        <v>37</v>
      </c>
      <c r="C2" s="1" t="s">
        <v>38</v>
      </c>
      <c r="D2" s="1" t="s">
        <v>40</v>
      </c>
      <c r="E2" s="1" t="s">
        <v>7</v>
      </c>
      <c r="F2" s="1" t="s">
        <v>39</v>
      </c>
      <c r="G2" s="7">
        <v>6.5</v>
      </c>
      <c r="H2" s="7">
        <v>38.5</v>
      </c>
      <c r="I2" s="6">
        <f>M2</f>
        <v>121157.10526315789</v>
      </c>
      <c r="J2" s="1"/>
      <c r="K2" s="1" t="s">
        <v>26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7">
        <v>7</v>
      </c>
      <c r="H3" s="7">
        <v>39</v>
      </c>
      <c r="I3" s="6">
        <f t="shared" ref="I3:I17" si="0">M3</f>
        <v>113183.42105263159</v>
      </c>
      <c r="J3" s="1"/>
      <c r="K3" s="1" t="s">
        <v>26</v>
      </c>
      <c r="L3" s="1"/>
      <c r="M3" s="5">
        <f t="shared" ref="M3:M17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7">
        <v>7.5</v>
      </c>
      <c r="H4" s="7">
        <v>40</v>
      </c>
      <c r="I4" s="6">
        <f t="shared" si="0"/>
        <v>121157.10526315789</v>
      </c>
      <c r="J4" s="1"/>
      <c r="K4" s="1" t="s">
        <v>33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7">
        <v>8</v>
      </c>
      <c r="H5" s="7">
        <v>40.5</v>
      </c>
      <c r="I5" s="6">
        <f t="shared" si="0"/>
        <v>121157.10526315789</v>
      </c>
      <c r="J5" s="1"/>
      <c r="K5" s="1" t="s">
        <v>26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7">
        <v>8.5</v>
      </c>
      <c r="H6" s="7">
        <v>41</v>
      </c>
      <c r="I6" s="6">
        <f t="shared" si="0"/>
        <v>113183.42105263159</v>
      </c>
      <c r="J6" s="1"/>
      <c r="K6" s="1" t="s">
        <v>26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7">
        <v>9</v>
      </c>
      <c r="H7" s="7">
        <v>42</v>
      </c>
      <c r="I7" s="6">
        <f t="shared" si="0"/>
        <v>113183.42105263159</v>
      </c>
      <c r="J7" s="1"/>
      <c r="K7" s="1" t="s">
        <v>26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7">
        <v>9.5</v>
      </c>
      <c r="H8" s="7">
        <v>42.5</v>
      </c>
      <c r="I8" s="6">
        <f t="shared" si="0"/>
        <v>118366.31578947369</v>
      </c>
      <c r="J8" s="1"/>
      <c r="K8" s="1" t="s">
        <v>26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7">
        <v>10</v>
      </c>
      <c r="H9" s="7">
        <v>43</v>
      </c>
      <c r="I9" s="6">
        <f t="shared" si="0"/>
        <v>103615</v>
      </c>
      <c r="J9" s="1"/>
      <c r="K9" s="1" t="s">
        <v>26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7">
        <v>10.5</v>
      </c>
      <c r="H10" s="7">
        <v>44</v>
      </c>
      <c r="I10" s="6">
        <f t="shared" si="0"/>
        <v>118366.31578947369</v>
      </c>
      <c r="J10" s="1"/>
      <c r="K10" s="1" t="s">
        <v>26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7"/>
      <c r="H11" s="7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7"/>
      <c r="H12" s="7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7"/>
      <c r="H13" s="7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7"/>
      <c r="H14" s="7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7"/>
      <c r="H15" s="7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7"/>
      <c r="H16" s="7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7"/>
      <c r="H17" s="7"/>
      <c r="I17" s="6"/>
      <c r="J17" s="1"/>
      <c r="K17" s="1"/>
      <c r="L17" s="1"/>
      <c r="M17" s="5"/>
      <c r="N17" s="2"/>
    </row>
    <row r="18" spans="1:14" x14ac:dyDescent="0.4">
      <c r="G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Nike</vt:lpstr>
      <vt:lpstr>Mizuno</vt:lpstr>
      <vt:lpstr>Hoka</vt:lpstr>
      <vt:lpstr>The North Face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2025-11-09T10:32:26Z</dcterms:modified>
</cp:coreProperties>
</file>