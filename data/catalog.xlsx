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687C95FB-036F-4D0A-852C-DB40CEBF37A4}" xr6:coauthVersionLast="47" xr6:coauthVersionMax="47" xr10:uidLastSave="{00000000-0000-0000-0000-000000000000}"/>
  <bookViews>
    <workbookView xWindow="-103" yWindow="-103" windowWidth="22149" windowHeight="11829" activeTab="1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  <sheet name="Adidas" sheetId="10" r:id="rId6"/>
    <sheet name="Native" sheetId="11" r:id="rId7"/>
    <sheet name="Dickies" sheetId="13" r:id="rId8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I13" i="4" s="1"/>
  <c r="M14" i="4"/>
  <c r="I14" i="4" s="1"/>
  <c r="M15" i="4"/>
  <c r="I15" i="4" s="1"/>
  <c r="M16" i="4"/>
  <c r="I16" i="4" s="1"/>
  <c r="M17" i="4"/>
  <c r="I17" i="4" s="1"/>
  <c r="M18" i="4"/>
  <c r="I18" i="4" s="1"/>
  <c r="M19" i="4"/>
  <c r="M20" i="4"/>
  <c r="M21" i="4"/>
  <c r="M22" i="4"/>
  <c r="M23" i="4"/>
  <c r="M24" i="4"/>
  <c r="M25" i="4"/>
  <c r="M26" i="4"/>
  <c r="M27" i="4"/>
  <c r="M28" i="4"/>
  <c r="M29" i="4"/>
  <c r="I29" i="4" s="1"/>
  <c r="M30" i="4"/>
  <c r="I30" i="4" s="1"/>
  <c r="M31" i="4"/>
  <c r="I31" i="4" s="1"/>
  <c r="M32" i="4"/>
  <c r="I32" i="4" s="1"/>
  <c r="M33" i="4"/>
  <c r="I33" i="4" s="1"/>
  <c r="M2" i="4"/>
  <c r="I2" i="4" s="1"/>
  <c r="M9" i="3"/>
  <c r="M10" i="3"/>
  <c r="M11" i="3"/>
  <c r="M12" i="3"/>
  <c r="M13" i="3"/>
  <c r="M14" i="3"/>
  <c r="M15" i="3"/>
  <c r="M16" i="3"/>
  <c r="M17" i="3"/>
  <c r="I17" i="3" s="1"/>
  <c r="M18" i="3"/>
  <c r="M19" i="3"/>
  <c r="I19" i="3" s="1"/>
  <c r="M20" i="3"/>
  <c r="I20" i="3" s="1"/>
  <c r="M21" i="3"/>
  <c r="I21" i="3" s="1"/>
  <c r="M22" i="3"/>
  <c r="I22" i="3" s="1"/>
  <c r="M23" i="3"/>
  <c r="M24" i="3"/>
  <c r="I24" i="3" s="1"/>
  <c r="M25" i="3"/>
  <c r="M26" i="3"/>
  <c r="M27" i="3"/>
  <c r="M28" i="3"/>
  <c r="M29" i="3"/>
  <c r="M30" i="3"/>
  <c r="I30" i="3" s="1"/>
  <c r="M31" i="3"/>
  <c r="I31" i="3" s="1"/>
  <c r="M32" i="3"/>
  <c r="I32" i="3" s="1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M42" i="3"/>
  <c r="M43" i="3"/>
  <c r="M44" i="3"/>
  <c r="M45" i="3"/>
  <c r="I45" i="3" s="1"/>
  <c r="M46" i="3"/>
  <c r="M2" i="3"/>
  <c r="M3" i="3"/>
  <c r="M4" i="3"/>
  <c r="I4" i="3" s="1"/>
  <c r="M5" i="3"/>
  <c r="I5" i="3" s="1"/>
  <c r="M6" i="3"/>
  <c r="I6" i="3" s="1"/>
  <c r="M7" i="3"/>
  <c r="M8" i="3"/>
  <c r="M19" i="13"/>
  <c r="M20" i="13"/>
  <c r="M21" i="13"/>
  <c r="M22" i="13"/>
  <c r="M23" i="13"/>
  <c r="M24" i="13"/>
  <c r="M25" i="13"/>
  <c r="I19" i="13"/>
  <c r="I20" i="13"/>
  <c r="I21" i="13"/>
  <c r="I22" i="13"/>
  <c r="I23" i="13"/>
  <c r="I24" i="13"/>
  <c r="I25" i="13"/>
  <c r="M12" i="13"/>
  <c r="M13" i="13"/>
  <c r="I13" i="13" s="1"/>
  <c r="M14" i="13"/>
  <c r="M15" i="13"/>
  <c r="M16" i="13"/>
  <c r="M17" i="13"/>
  <c r="M18" i="13"/>
  <c r="I12" i="13"/>
  <c r="I14" i="13"/>
  <c r="I15" i="13"/>
  <c r="I16" i="13"/>
  <c r="I17" i="13"/>
  <c r="I18" i="13"/>
  <c r="M11" i="13"/>
  <c r="I11" i="13"/>
  <c r="M10" i="13"/>
  <c r="I10" i="13" s="1"/>
  <c r="M9" i="13"/>
  <c r="I9" i="13" s="1"/>
  <c r="M8" i="13"/>
  <c r="I8" i="13"/>
  <c r="M7" i="13"/>
  <c r="I7" i="13" s="1"/>
  <c r="M6" i="13"/>
  <c r="I6" i="13"/>
  <c r="M5" i="13"/>
  <c r="I5" i="13" s="1"/>
  <c r="M4" i="13"/>
  <c r="I4" i="13" s="1"/>
  <c r="M3" i="13"/>
  <c r="I3" i="13"/>
  <c r="M2" i="13"/>
  <c r="I2" i="13" s="1"/>
  <c r="I3" i="4"/>
  <c r="I4" i="4"/>
  <c r="I5" i="4"/>
  <c r="I6" i="4"/>
  <c r="I7" i="4"/>
  <c r="I8" i="4"/>
  <c r="I9" i="4"/>
  <c r="I10" i="4"/>
  <c r="I11" i="4"/>
  <c r="I12" i="4"/>
  <c r="I19" i="4"/>
  <c r="I20" i="4"/>
  <c r="I21" i="4"/>
  <c r="I22" i="4"/>
  <c r="I23" i="4"/>
  <c r="I24" i="4"/>
  <c r="I25" i="4"/>
  <c r="I26" i="4"/>
  <c r="I27" i="4"/>
  <c r="I28" i="4"/>
  <c r="I7" i="3"/>
  <c r="I8" i="3"/>
  <c r="I9" i="3"/>
  <c r="I12" i="3"/>
  <c r="I13" i="3"/>
  <c r="I14" i="3"/>
  <c r="I15" i="3"/>
  <c r="I16" i="3"/>
  <c r="I18" i="3"/>
  <c r="I23" i="3"/>
  <c r="I25" i="3"/>
  <c r="I41" i="3"/>
  <c r="I43" i="3"/>
  <c r="I44" i="3"/>
  <c r="I46" i="3"/>
  <c r="I2" i="3"/>
  <c r="M11" i="11"/>
  <c r="M12" i="11"/>
  <c r="I12" i="11" s="1"/>
  <c r="I9" i="11"/>
  <c r="I10" i="11"/>
  <c r="I11" i="11"/>
  <c r="M10" i="11"/>
  <c r="M9" i="11"/>
  <c r="M8" i="11"/>
  <c r="I8" i="11" s="1"/>
  <c r="M7" i="11"/>
  <c r="I7" i="11" s="1"/>
  <c r="M6" i="11"/>
  <c r="I6" i="11"/>
  <c r="M5" i="11"/>
  <c r="I5" i="11"/>
  <c r="M4" i="11"/>
  <c r="I4" i="11"/>
  <c r="M3" i="11"/>
  <c r="I3" i="11"/>
  <c r="M2" i="11"/>
  <c r="I2" i="11" s="1"/>
  <c r="M10" i="10"/>
  <c r="M9" i="10"/>
  <c r="I9" i="10"/>
  <c r="M8" i="10"/>
  <c r="I8" i="10"/>
  <c r="M7" i="10"/>
  <c r="I7" i="10" s="1"/>
  <c r="M6" i="10"/>
  <c r="I6" i="10"/>
  <c r="M5" i="10"/>
  <c r="I5" i="10" s="1"/>
  <c r="M4" i="10"/>
  <c r="I4" i="10"/>
  <c r="M3" i="10"/>
  <c r="I3" i="10" s="1"/>
  <c r="M2" i="10"/>
  <c r="I2" i="10"/>
  <c r="I42" i="3"/>
  <c r="I10" i="3"/>
  <c r="I11" i="3"/>
  <c r="I3" i="3"/>
  <c r="I26" i="3"/>
  <c r="I27" i="3"/>
  <c r="I28" i="3"/>
  <c r="I29" i="3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<sst xmlns="http://schemas.openxmlformats.org/spreadsheetml/2006/main" count="318" uniqueCount="60">
  <si>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</si>
  <si>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</si>
  <si>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</si>
  <si>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</si>
  <si>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</si>
  <si>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</si>
  <si>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</si>
  <si>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</si>
  <si>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</si>
  <si>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</si>
  <si>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</si>
  <si>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</si>
  <si>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</si>
  <si>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</si>
  <si>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</si>
  <si>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</si>
  <si>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</si>
  <si>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</si>
  <si>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</si>
  <si>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</si>
  <si>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</si>
  <si>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</si>
  <si>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</si>
  <si>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</si>
  <si>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</si>
  <si>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</si>
  <si>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</si>
  <si>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</si>
  <si>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</si>
  <si>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</si>
  <si>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</si>
  <si>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</si>
  <si>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</si>
  <si>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</si>
  <si>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</si>
  <si>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</si>
  <si>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</si>
  <si>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</si>
  <si>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</si>
  <si>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</si>
  <si>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</si>
  <si>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</si>
  <si>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</si>
  <si>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</si>
  <si>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</si>
  <si>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</si>
  <si>
    <t>100031_1 100031_2 100031_3 100031_4 100031_5 100031_6</t>
  </si>
  <si>
    <t>Adidas</t>
  </si>
  <si>
    <t xml:space="preserve">Puffylette </t>
  </si>
  <si>
    <t>900001_1 900001_2 900001_3 900001_4 900001_5 900001_6</t>
  </si>
  <si>
    <t>Native</t>
  </si>
  <si>
    <t>110001_1 110001_2 110001_3 110001_4 110001_5</t>
  </si>
  <si>
    <t>Fitzsimmons 3</t>
  </si>
  <si>
    <t>Dickies</t>
  </si>
  <si>
    <t>120001_1 120001_2 120001_3 120001_4 120001_5 120001_6</t>
  </si>
  <si>
    <t>yellow</t>
  </si>
  <si>
    <t>british style</t>
  </si>
  <si>
    <t>women</t>
  </si>
  <si>
    <t>120011_1 120011_2 120011_3 120011_4 120011_5 120011_6</t>
  </si>
  <si>
    <t xml:space="preserve">120018_1 120018_2 120018_3 120018_4 120018_5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</si>
</sst>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;[Red]\-0.0\ "/>
    <numFmt numFmtId="165" formatCode="0.0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46"/>
  <sheetViews>
    <sheetView topLeftCell="A23" workbookViewId="0">
      <selection activeCell="I42" sqref="I42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8.0742187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6">
        <f>M2</f>
        <v>71641.315789473694</v>
      </c>
      <c r="J2" s="1"/>
      <c r="K2" s="1" t="s">
        <v>25</v>
      </c>
      <c r="L2" s="1"/>
      <c r="M2" s="5">
        <f t="shared" ref="M2:M7" si="0">(N2*75+N2*75*0.01+15000+4200+5000)/0.95</f>
        <v>71641.315789473694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6">
        <f t="shared" ref="I3:I46" si="1">M3</f>
        <v>71641.315789473694</v>
      </c>
      <c r="J3" s="1"/>
      <c r="K3" s="1" t="s">
        <v>25</v>
      </c>
      <c r="L3" s="1"/>
      <c r="M3" s="5">
        <f t="shared" si="0"/>
        <v>71641.315789473694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6">
        <f t="shared" si="1"/>
        <v>71641.315789473694</v>
      </c>
      <c r="J4" s="1"/>
      <c r="K4" s="1" t="s">
        <v>25</v>
      </c>
      <c r="L4" s="1"/>
      <c r="M4" s="5">
        <f t="shared" si="0"/>
        <v>71641.315789473694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6">
        <f t="shared" si="1"/>
        <v>71641.315789473694</v>
      </c>
      <c r="J5" s="1"/>
      <c r="K5" s="1" t="s">
        <v>25</v>
      </c>
      <c r="L5" s="1"/>
      <c r="M5" s="5">
        <f t="shared" si="0"/>
        <v>71641.315789473694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6">
        <f t="shared" si="1"/>
        <v>71641.315789473694</v>
      </c>
      <c r="J6" s="1"/>
      <c r="K6" s="1" t="s">
        <v>25</v>
      </c>
      <c r="L6" s="1"/>
      <c r="M6" s="5">
        <f t="shared" si="0"/>
        <v>71641.315789473694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6">
        <f t="shared" si="1"/>
        <v>71641.315789473694</v>
      </c>
      <c r="J7" s="1"/>
      <c r="K7" s="1" t="s">
        <v>25</v>
      </c>
      <c r="L7" s="1"/>
      <c r="M7" s="5">
        <f t="shared" si="0"/>
        <v>71641.315789473694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6">
        <f t="shared" si="1"/>
        <v>71641.315789473694</v>
      </c>
      <c r="J8" s="1"/>
      <c r="K8" s="1" t="s">
        <v>25</v>
      </c>
      <c r="L8" s="1"/>
      <c r="M8" s="5">
        <f>(N8*75+N8*75*0.01+15000+4200+5000)/0.95</f>
        <v>71641.315789473694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6">
        <f t="shared" si="1"/>
        <v>71641.315789473694</v>
      </c>
      <c r="J9" s="1"/>
      <c r="K9" s="1" t="s">
        <v>25</v>
      </c>
      <c r="L9" s="1"/>
      <c r="M9" s="5">
        <f t="shared" ref="M9:M46" si="2">(N9*75+N9*75*0.01+15000+4200+5000)/0.95</f>
        <v>71641.315789473694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6">
        <f t="shared" si="1"/>
        <v>71641.315789473694</v>
      </c>
      <c r="J10" s="1"/>
      <c r="K10" s="1" t="s">
        <v>25</v>
      </c>
      <c r="L10" s="1"/>
      <c r="M10" s="5">
        <f t="shared" si="2"/>
        <v>71641.315789473694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6">
        <f t="shared" si="1"/>
        <v>71641.315789473694</v>
      </c>
      <c r="J11" s="1"/>
      <c r="K11" s="1" t="s">
        <v>25</v>
      </c>
      <c r="L11" s="1"/>
      <c r="M11" s="5">
        <f t="shared" si="2"/>
        <v>71641.315789473694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6">
        <f t="shared" si="1"/>
        <v>71641.315789473694</v>
      </c>
      <c r="J12" s="1"/>
      <c r="K12" s="1" t="s">
        <v>25</v>
      </c>
      <c r="L12" s="1"/>
      <c r="M12" s="5">
        <f t="shared" si="2"/>
        <v>71641.315789473694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6">
        <f t="shared" si="1"/>
        <v>71641.315789473694</v>
      </c>
      <c r="J13" s="1"/>
      <c r="K13" s="1" t="s">
        <v>25</v>
      </c>
      <c r="L13" s="1"/>
      <c r="M13" s="5">
        <f t="shared" si="2"/>
        <v>71641.315789473694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6">
        <f t="shared" si="1"/>
        <v>71641.315789473694</v>
      </c>
      <c r="J14" s="1"/>
      <c r="K14" s="1" t="s">
        <v>25</v>
      </c>
      <c r="L14" s="1"/>
      <c r="M14" s="5">
        <f t="shared" si="2"/>
        <v>71641.315789473694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6">
        <f t="shared" si="1"/>
        <v>71641.315789473694</v>
      </c>
      <c r="J15" s="1"/>
      <c r="K15" s="1" t="s">
        <v>25</v>
      </c>
      <c r="L15" s="1"/>
      <c r="M15" s="5">
        <f t="shared" si="2"/>
        <v>71641.315789473694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6">
        <f t="shared" si="1"/>
        <v>71641.315789473694</v>
      </c>
      <c r="J16" s="1"/>
      <c r="K16" s="1" t="s">
        <v>25</v>
      </c>
      <c r="L16" s="1"/>
      <c r="M16" s="5">
        <f t="shared" si="2"/>
        <v>71641.315789473694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6">
        <f t="shared" si="1"/>
        <v>71641.315789473694</v>
      </c>
      <c r="J17" s="1"/>
      <c r="K17" s="1" t="s">
        <v>25</v>
      </c>
      <c r="L17" s="1"/>
      <c r="M17" s="5">
        <f t="shared" si="2"/>
        <v>71641.315789473694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6">
        <f t="shared" si="1"/>
        <v>71641.315789473694</v>
      </c>
      <c r="J18" s="1"/>
      <c r="K18" s="1" t="s">
        <v>25</v>
      </c>
      <c r="L18" s="1"/>
      <c r="M18" s="5">
        <f t="shared" si="2"/>
        <v>71641.315789473694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6">
        <f t="shared" si="1"/>
        <v>71641.315789473694</v>
      </c>
      <c r="J19" s="1"/>
      <c r="K19" s="1" t="s">
        <v>25</v>
      </c>
      <c r="L19" s="1"/>
      <c r="M19" s="5">
        <f t="shared" si="2"/>
        <v>71641.315789473694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6">
        <f t="shared" si="1"/>
        <v>71641.315789473694</v>
      </c>
      <c r="J20" s="1"/>
      <c r="K20" s="1" t="s">
        <v>25</v>
      </c>
      <c r="L20" s="1"/>
      <c r="M20" s="5">
        <f t="shared" si="2"/>
        <v>71641.315789473694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6">
        <f t="shared" si="1"/>
        <v>71641.315789473694</v>
      </c>
      <c r="J21" s="1"/>
      <c r="K21" s="1" t="s">
        <v>25</v>
      </c>
      <c r="L21" s="1"/>
      <c r="M21" s="5">
        <f t="shared" si="2"/>
        <v>71641.315789473694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6">
        <f t="shared" si="1"/>
        <v>71641.315789473694</v>
      </c>
      <c r="J22" s="1"/>
      <c r="K22" s="1" t="s">
        <v>25</v>
      </c>
      <c r="L22" s="1"/>
      <c r="M22" s="5">
        <f t="shared" si="2"/>
        <v>71641.315789473694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6">
        <f t="shared" si="1"/>
        <v>71641.315789473694</v>
      </c>
      <c r="J23" s="1"/>
      <c r="K23" s="1" t="s">
        <v>25</v>
      </c>
      <c r="L23" s="1"/>
      <c r="M23" s="5">
        <f t="shared" si="2"/>
        <v>71641.315789473694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6">
        <f t="shared" si="1"/>
        <v>71641.315789473694</v>
      </c>
      <c r="J24" s="1"/>
      <c r="K24" s="1" t="s">
        <v>25</v>
      </c>
      <c r="L24" s="1"/>
      <c r="M24" s="5">
        <f t="shared" si="2"/>
        <v>71641.315789473694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6">
        <f t="shared" si="1"/>
        <v>71641.315789473694</v>
      </c>
      <c r="J25" s="1"/>
      <c r="K25" s="1" t="s">
        <v>25</v>
      </c>
      <c r="L25" s="1"/>
      <c r="M25" s="5">
        <f t="shared" si="2"/>
        <v>71641.315789473694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6">
        <f t="shared" si="1"/>
        <v>71641.315789473694</v>
      </c>
      <c r="J26" s="1"/>
      <c r="K26" s="1" t="s">
        <v>25</v>
      </c>
      <c r="L26" s="1"/>
      <c r="M26" s="5">
        <f t="shared" si="2"/>
        <v>71641.315789473694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6">
        <f t="shared" si="1"/>
        <v>71641.315789473694</v>
      </c>
      <c r="J27" s="1"/>
      <c r="K27" s="1" t="s">
        <v>25</v>
      </c>
      <c r="L27" s="1"/>
      <c r="M27" s="5">
        <f t="shared" si="2"/>
        <v>71641.315789473694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6">
        <f t="shared" si="1"/>
        <v>71641.315789473694</v>
      </c>
      <c r="J28" s="1"/>
      <c r="K28" s="1" t="s">
        <v>25</v>
      </c>
      <c r="L28" s="1"/>
      <c r="M28" s="5">
        <f t="shared" si="2"/>
        <v>71641.315789473694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6">
        <f t="shared" si="1"/>
        <v>71641.315789473694</v>
      </c>
      <c r="J29" s="1"/>
      <c r="K29" s="1" t="s">
        <v>25</v>
      </c>
      <c r="L29" s="1"/>
      <c r="M29" s="5">
        <f t="shared" si="2"/>
        <v>71641.315789473694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6">
        <f t="shared" si="1"/>
        <v>71641.315789473694</v>
      </c>
      <c r="J30" s="1"/>
      <c r="K30" s="1" t="s">
        <v>25</v>
      </c>
      <c r="L30" s="1"/>
      <c r="M30" s="5">
        <f t="shared" si="2"/>
        <v>71641.315789473694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6">
        <f t="shared" si="1"/>
        <v>71641.315789473694</v>
      </c>
      <c r="J31" s="1"/>
      <c r="K31" s="1" t="s">
        <v>25</v>
      </c>
      <c r="L31" s="1"/>
      <c r="M31" s="5">
        <f t="shared" si="2"/>
        <v>71641.315789473694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 t="s">
        <v>46</v>
      </c>
      <c r="G32" s="1">
        <v>3.5</v>
      </c>
      <c r="H32" s="1">
        <v>35.5</v>
      </c>
      <c r="I32" s="6">
        <f t="shared" si="1"/>
        <v>81209.736842105267</v>
      </c>
      <c r="J32" s="1"/>
      <c r="K32" s="1" t="s">
        <v>32</v>
      </c>
      <c r="L32" s="1"/>
      <c r="M32" s="5">
        <f t="shared" si="2"/>
        <v>81209.736842105267</v>
      </c>
      <c r="N32" s="2">
        <v>699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6">
        <f t="shared" si="1"/>
        <v>81209.736842105267</v>
      </c>
      <c r="J33" s="1"/>
      <c r="K33" s="1" t="s">
        <v>25</v>
      </c>
      <c r="L33" s="1"/>
      <c r="M33" s="5">
        <f t="shared" si="2"/>
        <v>81209.736842105267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6">
        <f t="shared" si="1"/>
        <v>73236.052631578947</v>
      </c>
      <c r="J34" s="1"/>
      <c r="K34" s="1" t="s">
        <v>25</v>
      </c>
      <c r="L34" s="1"/>
      <c r="M34" s="5">
        <f t="shared" si="2"/>
        <v>73236.052631578947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6">
        <f t="shared" si="1"/>
        <v>25473.684210526317</v>
      </c>
      <c r="J35" s="1"/>
      <c r="K35" s="1" t="s">
        <v>32</v>
      </c>
      <c r="L35" s="1"/>
      <c r="M35" s="5">
        <f t="shared" si="2"/>
        <v>25473.684210526317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6">
        <f t="shared" si="1"/>
        <v>73236.052631578947</v>
      </c>
      <c r="J36" s="1"/>
      <c r="K36" s="1" t="s">
        <v>25</v>
      </c>
      <c r="L36" s="1"/>
      <c r="M36" s="5">
        <f t="shared" si="2"/>
        <v>73236.052631578947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6">
        <f t="shared" si="1"/>
        <v>64465</v>
      </c>
      <c r="J37" s="1"/>
      <c r="K37" s="1" t="s">
        <v>25</v>
      </c>
      <c r="L37" s="1"/>
      <c r="M37" s="5">
        <f t="shared" si="2"/>
        <v>64465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6">
        <f t="shared" si="1"/>
        <v>58086.052631578947</v>
      </c>
      <c r="J38" s="1"/>
      <c r="K38" s="1" t="s">
        <v>25</v>
      </c>
      <c r="L38" s="1"/>
      <c r="M38" s="5">
        <f t="shared" si="2"/>
        <v>58086.052631578947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6">
        <f t="shared" si="1"/>
        <v>63667.631578947374</v>
      </c>
      <c r="J39" s="1"/>
      <c r="K39" s="1" t="s">
        <v>25</v>
      </c>
      <c r="L39" s="1"/>
      <c r="M39" s="5">
        <f t="shared" si="2"/>
        <v>63667.631578947374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6">
        <f t="shared" si="1"/>
        <v>65262.368421052633</v>
      </c>
      <c r="J40" s="1"/>
      <c r="K40" s="1" t="s">
        <v>25</v>
      </c>
      <c r="L40" s="1"/>
      <c r="M40" s="5">
        <f t="shared" si="2"/>
        <v>65262.368421052633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6">
        <f t="shared" si="1"/>
        <v>151457.89473684211</v>
      </c>
      <c r="J41" s="1"/>
      <c r="K41" s="1" t="s">
        <v>25</v>
      </c>
      <c r="L41" s="1"/>
      <c r="M41" s="5">
        <f t="shared" si="2"/>
        <v>151457.89473684211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6">
        <f t="shared" si="1"/>
        <v>144520.78947368421</v>
      </c>
      <c r="J42" s="1"/>
      <c r="K42" s="1" t="s">
        <v>25</v>
      </c>
      <c r="L42" s="1"/>
      <c r="M42" s="5">
        <f t="shared" si="2"/>
        <v>144520.78947368421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6">
        <f t="shared" si="1"/>
        <v>77541.84210526316</v>
      </c>
      <c r="J43" s="1"/>
      <c r="K43" s="1" t="s">
        <v>25</v>
      </c>
      <c r="L43" s="1"/>
      <c r="M43" s="5">
        <f t="shared" si="2"/>
        <v>77541.84210526316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6">
        <f t="shared" si="1"/>
        <v>73236.052631578947</v>
      </c>
      <c r="J44" s="1"/>
      <c r="K44" s="1" t="s">
        <v>25</v>
      </c>
      <c r="L44" s="1"/>
      <c r="M44" s="5">
        <f t="shared" si="2"/>
        <v>73236.052631578947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6">
        <f t="shared" si="1"/>
        <v>94924.473684210534</v>
      </c>
      <c r="J45" s="1"/>
      <c r="K45" s="1" t="s">
        <v>25</v>
      </c>
      <c r="L45" s="1"/>
      <c r="M45" s="5">
        <f t="shared" si="2"/>
        <v>94924.473684210534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6">
        <f t="shared" si="1"/>
        <v>81050.263157894748</v>
      </c>
      <c r="J46" s="1"/>
      <c r="K46" s="1" t="s">
        <v>25</v>
      </c>
      <c r="L46" s="1"/>
      <c r="M46" s="5">
        <f t="shared" si="2"/>
        <v>81050.263157894748</v>
      </c>
      <c r="N46" s="2">
        <v>697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N33"/>
  <sheetViews>
    <sheetView tabSelected="1" topLeftCell="A11" workbookViewId="0">
      <selection activeCell="K36" sqref="K36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6">
        <f>M2</f>
        <v>71641.315789473694</v>
      </c>
      <c r="J2" s="1"/>
      <c r="K2" s="1" t="s">
        <v>25</v>
      </c>
      <c r="L2" s="1"/>
      <c r="M2" s="5">
        <f>(N2*75+N2*75*0.01+15000+4200+5000)/0.95</f>
        <v>71641.315789473694</v>
      </c>
      <c r="N2" s="2">
        <v>579</v>
      </c>
    </row>
    <row r="3" spans="1:14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6">
        <f t="shared" ref="I3:I33" si="0">M3</f>
        <v>71641.315789473694</v>
      </c>
      <c r="J3" s="1"/>
      <c r="K3" s="1" t="s">
        <v>25</v>
      </c>
      <c r="L3" s="1"/>
      <c r="M3" s="5">
        <f t="shared" ref="M3:M33" si="1">(N3*75+N3*75*0.01+15000+4200+5000)/0.95</f>
        <v>71641.315789473694</v>
      </c>
      <c r="N3" s="2">
        <v>579</v>
      </c>
    </row>
    <row r="4" spans="1:14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6">
        <f t="shared" si="0"/>
        <v>71641.315789473694</v>
      </c>
      <c r="J4" s="1"/>
      <c r="K4" s="1" t="s">
        <v>25</v>
      </c>
      <c r="L4" s="1"/>
      <c r="M4" s="5">
        <f t="shared" si="1"/>
        <v>71641.315789473694</v>
      </c>
      <c r="N4" s="2">
        <v>579</v>
      </c>
    </row>
    <row r="5" spans="1:14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6">
        <f t="shared" si="0"/>
        <v>71641.315789473694</v>
      </c>
      <c r="J5" s="1"/>
      <c r="K5" s="1" t="s">
        <v>25</v>
      </c>
      <c r="L5" s="1"/>
      <c r="M5" s="5">
        <f t="shared" si="1"/>
        <v>71641.315789473694</v>
      </c>
      <c r="N5" s="2">
        <v>579</v>
      </c>
    </row>
    <row r="6" spans="1:14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6">
        <f t="shared" si="0"/>
        <v>71641.315789473694</v>
      </c>
      <c r="J6" s="1"/>
      <c r="K6" s="1" t="s">
        <v>25</v>
      </c>
      <c r="L6" s="1"/>
      <c r="M6" s="5">
        <f t="shared" si="1"/>
        <v>71641.315789473694</v>
      </c>
      <c r="N6" s="2">
        <v>579</v>
      </c>
    </row>
    <row r="7" spans="1:14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6">
        <f t="shared" si="0"/>
        <v>71641.315789473694</v>
      </c>
      <c r="J7" s="1"/>
      <c r="K7" s="1" t="s">
        <v>25</v>
      </c>
      <c r="L7" s="1"/>
      <c r="M7" s="5">
        <f t="shared" si="1"/>
        <v>71641.315789473694</v>
      </c>
      <c r="N7" s="2">
        <v>579</v>
      </c>
    </row>
    <row r="8" spans="1:14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6">
        <f t="shared" si="0"/>
        <v>71641.315789473694</v>
      </c>
      <c r="J8" s="1"/>
      <c r="K8" s="1" t="s">
        <v>25</v>
      </c>
      <c r="L8" s="1"/>
      <c r="M8" s="5">
        <f t="shared" si="1"/>
        <v>71641.315789473694</v>
      </c>
      <c r="N8" s="2">
        <v>579</v>
      </c>
    </row>
    <row r="9" spans="1:14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6">
        <f t="shared" si="0"/>
        <v>71641.315789473694</v>
      </c>
      <c r="J9" s="1"/>
      <c r="K9" s="1" t="s">
        <v>25</v>
      </c>
      <c r="L9" s="1"/>
      <c r="M9" s="5">
        <f t="shared" si="1"/>
        <v>71641.315789473694</v>
      </c>
      <c r="N9" s="2">
        <v>579</v>
      </c>
    </row>
    <row r="10" spans="1:14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6">
        <f t="shared" si="0"/>
        <v>71641.315789473694</v>
      </c>
      <c r="J10" s="1"/>
      <c r="K10" s="1" t="s">
        <v>25</v>
      </c>
      <c r="L10" s="1"/>
      <c r="M10" s="5">
        <f t="shared" si="1"/>
        <v>71641.315789473694</v>
      </c>
      <c r="N10" s="2">
        <v>579</v>
      </c>
    </row>
    <row r="11" spans="1:14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6">
        <f t="shared" si="0"/>
        <v>71641.315789473694</v>
      </c>
      <c r="J11" s="1"/>
      <c r="K11" s="1" t="s">
        <v>25</v>
      </c>
      <c r="L11" s="1"/>
      <c r="M11" s="5">
        <f t="shared" si="1"/>
        <v>71641.315789473694</v>
      </c>
      <c r="N11" s="2">
        <v>579</v>
      </c>
    </row>
    <row r="12" spans="1:14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6">
        <f t="shared" si="0"/>
        <v>71641.315789473694</v>
      </c>
      <c r="J12" s="1"/>
      <c r="K12" s="1" t="s">
        <v>25</v>
      </c>
      <c r="L12" s="1"/>
      <c r="M12" s="5">
        <f t="shared" si="1"/>
        <v>71641.315789473694</v>
      </c>
      <c r="N12" s="2">
        <v>579</v>
      </c>
    </row>
    <row r="13" spans="1:14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6">
        <f t="shared" si="0"/>
        <v>71641.315789473694</v>
      </c>
      <c r="J13" s="1"/>
      <c r="K13" s="1" t="s">
        <v>25</v>
      </c>
      <c r="L13" s="1"/>
      <c r="M13" s="5">
        <f t="shared" si="1"/>
        <v>71641.315789473694</v>
      </c>
      <c r="N13" s="2">
        <v>579</v>
      </c>
    </row>
    <row r="14" spans="1:14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6">
        <f t="shared" si="0"/>
        <v>71641.315789473694</v>
      </c>
      <c r="J14" s="1"/>
      <c r="K14" s="1" t="s">
        <v>25</v>
      </c>
      <c r="L14" s="1"/>
      <c r="M14" s="5">
        <f t="shared" si="1"/>
        <v>71641.315789473694</v>
      </c>
      <c r="N14" s="2">
        <v>579</v>
      </c>
    </row>
    <row r="15" spans="1:14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6">
        <f t="shared" si="0"/>
        <v>71641.315789473694</v>
      </c>
      <c r="J15" s="1"/>
      <c r="K15" s="1" t="s">
        <v>25</v>
      </c>
      <c r="L15" s="1"/>
      <c r="M15" s="5">
        <f t="shared" si="1"/>
        <v>71641.315789473694</v>
      </c>
      <c r="N15" s="2">
        <v>579</v>
      </c>
    </row>
    <row r="16" spans="1:14" x14ac:dyDescent="0.4">
      <c r="A16" s="1"/>
      <c r="B16" s="1"/>
      <c r="C16" s="1"/>
      <c r="D16" s="1"/>
      <c r="E16" s="1"/>
      <c r="F16" s="1"/>
      <c r="G16" s="1"/>
      <c r="H16" s="1"/>
      <c r="I16" s="6">
        <f t="shared" si="0"/>
        <v>71641.315789473694</v>
      </c>
      <c r="J16" s="1"/>
      <c r="K16" s="1" t="s">
        <v>25</v>
      </c>
      <c r="L16" s="1"/>
      <c r="M16" s="5">
        <f t="shared" si="1"/>
        <v>71641.315789473694</v>
      </c>
      <c r="N16" s="2">
        <v>579</v>
      </c>
    </row>
    <row r="17" spans="1:14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6">
        <f t="shared" si="0"/>
        <v>71641.315789473694</v>
      </c>
      <c r="J17" s="1"/>
      <c r="K17" s="1" t="s">
        <v>25</v>
      </c>
      <c r="L17" s="1"/>
      <c r="M17" s="5">
        <f t="shared" si="1"/>
        <v>71641.315789473694</v>
      </c>
      <c r="N17" s="2">
        <v>579</v>
      </c>
    </row>
    <row r="18" spans="1:14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6">
        <f t="shared" si="0"/>
        <v>71641.315789473694</v>
      </c>
      <c r="J18" s="1"/>
      <c r="K18" s="1" t="s">
        <v>25</v>
      </c>
      <c r="L18" s="1"/>
      <c r="M18" s="5">
        <f t="shared" si="1"/>
        <v>71641.315789473694</v>
      </c>
      <c r="N18" s="2">
        <v>579</v>
      </c>
    </row>
    <row r="19" spans="1:14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6">
        <f t="shared" si="0"/>
        <v>71641.315789473694</v>
      </c>
      <c r="J19" s="1"/>
      <c r="K19" s="1" t="s">
        <v>25</v>
      </c>
      <c r="L19" s="1"/>
      <c r="M19" s="5">
        <f t="shared" si="1"/>
        <v>71641.315789473694</v>
      </c>
      <c r="N19" s="2">
        <v>579</v>
      </c>
    </row>
    <row r="20" spans="1:14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6">
        <f t="shared" si="0"/>
        <v>71641.315789473694</v>
      </c>
      <c r="J20" s="1"/>
      <c r="K20" s="1" t="s">
        <v>25</v>
      </c>
      <c r="L20" s="1"/>
      <c r="M20" s="5">
        <f t="shared" si="1"/>
        <v>71641.315789473694</v>
      </c>
      <c r="N20" s="2">
        <v>579</v>
      </c>
    </row>
    <row r="21" spans="1:14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6">
        <f t="shared" si="0"/>
        <v>71641.315789473694</v>
      </c>
      <c r="J21" s="1"/>
      <c r="K21" s="1" t="s">
        <v>25</v>
      </c>
      <c r="L21" s="1"/>
      <c r="M21" s="5">
        <f t="shared" si="1"/>
        <v>71641.315789473694</v>
      </c>
      <c r="N21" s="2">
        <v>579</v>
      </c>
    </row>
    <row r="22" spans="1:14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6">
        <f t="shared" si="0"/>
        <v>71641.315789473694</v>
      </c>
      <c r="J22" s="1"/>
      <c r="K22" s="1" t="s">
        <v>25</v>
      </c>
      <c r="L22" s="1"/>
      <c r="M22" s="5">
        <f t="shared" si="1"/>
        <v>71641.315789473694</v>
      </c>
      <c r="N22" s="2">
        <v>579</v>
      </c>
    </row>
    <row r="23" spans="1:14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6">
        <f t="shared" si="0"/>
        <v>71641.315789473694</v>
      </c>
      <c r="J23" s="1"/>
      <c r="K23" s="1" t="s">
        <v>25</v>
      </c>
      <c r="L23" s="1"/>
      <c r="M23" s="5">
        <f t="shared" si="1"/>
        <v>71641.315789473694</v>
      </c>
      <c r="N23" s="2">
        <v>579</v>
      </c>
    </row>
    <row r="24" spans="1:14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6">
        <f t="shared" si="0"/>
        <v>71641.315789473694</v>
      </c>
      <c r="J24" s="1"/>
      <c r="K24" s="1" t="s">
        <v>25</v>
      </c>
      <c r="L24" s="1"/>
      <c r="M24" s="5">
        <f t="shared" si="1"/>
        <v>71641.315789473694</v>
      </c>
      <c r="N24" s="2">
        <v>579</v>
      </c>
    </row>
    <row r="25" spans="1:14" x14ac:dyDescent="0.4">
      <c r="A25" s="1"/>
      <c r="B25" s="1"/>
      <c r="C25" s="1"/>
      <c r="D25" s="1"/>
      <c r="E25" s="1"/>
      <c r="F25" s="1"/>
      <c r="G25" s="1">
        <v>9</v>
      </c>
      <c r="H25" s="1"/>
      <c r="I25" s="6">
        <f t="shared" si="0"/>
        <v>71641.315789473694</v>
      </c>
      <c r="J25" s="1"/>
      <c r="K25" s="1" t="s">
        <v>25</v>
      </c>
      <c r="L25" s="1"/>
      <c r="M25" s="5">
        <f t="shared" si="1"/>
        <v>71641.315789473694</v>
      </c>
      <c r="N25" s="2">
        <v>579</v>
      </c>
    </row>
    <row r="26" spans="1:14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6">
        <f t="shared" si="0"/>
        <v>71641.315789473694</v>
      </c>
      <c r="J26" s="1"/>
      <c r="K26" s="1" t="s">
        <v>25</v>
      </c>
      <c r="L26" s="1"/>
      <c r="M26" s="5">
        <f t="shared" si="1"/>
        <v>71641.315789473694</v>
      </c>
      <c r="N26" s="2">
        <v>579</v>
      </c>
    </row>
    <row r="27" spans="1:14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6">
        <f t="shared" si="0"/>
        <v>71641.315789473694</v>
      </c>
      <c r="J27" s="1"/>
      <c r="K27" s="1" t="s">
        <v>25</v>
      </c>
      <c r="L27" s="1"/>
      <c r="M27" s="5">
        <f t="shared" si="1"/>
        <v>71641.315789473694</v>
      </c>
      <c r="N27" s="2">
        <v>579</v>
      </c>
    </row>
    <row r="28" spans="1:14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6">
        <f t="shared" si="0"/>
        <v>71641.315789473694</v>
      </c>
      <c r="J28" s="1"/>
      <c r="K28" s="1" t="s">
        <v>25</v>
      </c>
      <c r="L28" s="1"/>
      <c r="M28" s="5">
        <f t="shared" si="1"/>
        <v>71641.315789473694</v>
      </c>
      <c r="N28" s="2">
        <v>579</v>
      </c>
    </row>
    <row r="29" spans="1:14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6">
        <f t="shared" si="0"/>
        <v>71641.315789473694</v>
      </c>
      <c r="J29" s="1"/>
      <c r="K29" s="1" t="s">
        <v>25</v>
      </c>
      <c r="L29" s="1"/>
      <c r="M29" s="5">
        <f t="shared" si="1"/>
        <v>71641.315789473694</v>
      </c>
      <c r="N29" s="2">
        <v>579</v>
      </c>
    </row>
    <row r="30" spans="1:14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6">
        <f t="shared" si="0"/>
        <v>71641.315789473694</v>
      </c>
      <c r="J30" s="1"/>
      <c r="K30" s="1" t="s">
        <v>25</v>
      </c>
      <c r="L30" s="1"/>
      <c r="M30" s="5">
        <f t="shared" si="1"/>
        <v>71641.315789473694</v>
      </c>
      <c r="N30" s="2">
        <v>579</v>
      </c>
    </row>
    <row r="31" spans="1:14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6">
        <f t="shared" si="0"/>
        <v>71641.315789473694</v>
      </c>
      <c r="J31" s="1"/>
      <c r="K31" s="1" t="s">
        <v>25</v>
      </c>
      <c r="L31" s="1"/>
      <c r="M31" s="5">
        <f t="shared" si="1"/>
        <v>71641.315789473694</v>
      </c>
      <c r="N31" s="2">
        <v>579</v>
      </c>
    </row>
    <row r="32" spans="1:14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6">
        <f t="shared" si="0"/>
        <v>71641.315789473694</v>
      </c>
      <c r="J32" s="1"/>
      <c r="K32" s="1" t="s">
        <v>25</v>
      </c>
      <c r="L32" s="1"/>
      <c r="M32" s="5">
        <f t="shared" si="1"/>
        <v>71641.315789473694</v>
      </c>
      <c r="N32" s="2">
        <v>579</v>
      </c>
    </row>
    <row r="33" spans="1:14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6">
        <f t="shared" si="0"/>
        <v>71641.315789473694</v>
      </c>
      <c r="J33" s="1"/>
      <c r="K33" s="1" t="s">
        <v>25</v>
      </c>
      <c r="L33" s="1"/>
      <c r="M33" s="5">
        <f t="shared" si="1"/>
        <v>71641.315789473694</v>
      </c>
      <c r="N33" s="2">
        <v>579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topLeftCell="D1" workbookViewId="0">
      <selection activeCell="M2" sqref="M2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6">
        <f>M2</f>
        <v>176175.5263157895</v>
      </c>
      <c r="J2" s="1"/>
      <c r="K2" s="1" t="s">
        <v>25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6">
        <f t="shared" ref="I3:I17" si="0">M3</f>
        <v>192920.26315789475</v>
      </c>
      <c r="J3" s="1"/>
      <c r="K3" s="1" t="s">
        <v>25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6">
        <f t="shared" si="0"/>
        <v>17578.947368421053</v>
      </c>
      <c r="J4" s="1"/>
      <c r="K4" s="1" t="s">
        <v>32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6">
        <f t="shared" si="0"/>
        <v>261493.94736842107</v>
      </c>
      <c r="J5" s="1"/>
      <c r="K5" s="1" t="s">
        <v>25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6">
        <f t="shared" si="0"/>
        <v>192920.26315789475</v>
      </c>
      <c r="J6" s="1"/>
      <c r="K6" s="1" t="s">
        <v>25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6">
        <f t="shared" si="0"/>
        <v>208867.63157894739</v>
      </c>
      <c r="J7" s="1"/>
      <c r="K7" s="1" t="s">
        <v>25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6">
        <f t="shared" si="0"/>
        <v>200893.94736842107</v>
      </c>
      <c r="J8" s="1"/>
      <c r="K8" s="1" t="s">
        <v>25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6">
        <f t="shared" si="0"/>
        <v>208867.63157894739</v>
      </c>
      <c r="J9" s="1"/>
      <c r="K9" s="1" t="s">
        <v>25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6">
        <f t="shared" si="0"/>
        <v>154885.78947368421</v>
      </c>
      <c r="J10" s="1"/>
      <c r="K10" s="1" t="s">
        <v>25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6">
        <f t="shared" si="0"/>
        <v>130566.05263157895</v>
      </c>
      <c r="J11" s="1"/>
      <c r="K11" s="1" t="s">
        <v>25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6">
        <f t="shared" si="0"/>
        <v>138380.26315789475</v>
      </c>
      <c r="J12" s="1"/>
      <c r="K12" s="1" t="s">
        <v>25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6">
        <f t="shared" si="0"/>
        <v>138699.21052631579</v>
      </c>
      <c r="J13" s="1"/>
      <c r="K13" s="1" t="s">
        <v>25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6">
        <f t="shared" si="0"/>
        <v>133994.73684210528</v>
      </c>
      <c r="J14" s="1"/>
      <c r="K14" s="1" t="s">
        <v>25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6">
        <f t="shared" si="0"/>
        <v>140293.94736842107</v>
      </c>
      <c r="J15" s="1"/>
      <c r="K15" s="1" t="s">
        <v>25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6">
        <f t="shared" si="0"/>
        <v>138380.26315789475</v>
      </c>
      <c r="J16" s="1"/>
      <c r="K16" s="1" t="s">
        <v>25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6">
        <f t="shared" si="0"/>
        <v>136626.05263157896</v>
      </c>
      <c r="J17" s="1"/>
      <c r="K17" s="1" t="s">
        <v>25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topLeftCell="D1" workbookViewId="0">
      <selection activeCell="F9" sqref="F9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6">
        <f>M2</f>
        <v>121157.10526315789</v>
      </c>
      <c r="J2" s="1"/>
      <c r="K2" s="1" t="s">
        <v>25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6">
        <f t="shared" ref="I3:I10" si="0">M3</f>
        <v>113183.42105263159</v>
      </c>
      <c r="J3" s="1"/>
      <c r="K3" s="1" t="s">
        <v>25</v>
      </c>
      <c r="L3" s="1"/>
      <c r="M3" s="5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6">
        <f t="shared" si="0"/>
        <v>121157.10526315789</v>
      </c>
      <c r="J4" s="1"/>
      <c r="K4" s="1" t="s">
        <v>32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6">
        <f t="shared" si="0"/>
        <v>121157.10526315789</v>
      </c>
      <c r="J5" s="1"/>
      <c r="K5" s="1" t="s">
        <v>25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6">
        <f t="shared" si="0"/>
        <v>113183.42105263159</v>
      </c>
      <c r="J6" s="1"/>
      <c r="K6" s="1" t="s">
        <v>25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6">
        <f t="shared" si="0"/>
        <v>113183.42105263159</v>
      </c>
      <c r="J7" s="1"/>
      <c r="K7" s="1" t="s">
        <v>25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6">
        <f t="shared" si="0"/>
        <v>118366.31578947369</v>
      </c>
      <c r="J8" s="1"/>
      <c r="K8" s="1" t="s">
        <v>25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6">
        <f t="shared" si="0"/>
        <v>103615</v>
      </c>
      <c r="J9" s="1"/>
      <c r="K9" s="1" t="s">
        <v>25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6">
        <f t="shared" si="0"/>
        <v>118366.31578947369</v>
      </c>
      <c r="J10" s="1"/>
      <c r="K10" s="1" t="s">
        <v>25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workbookViewId="0">
      <selection activeCell="J16" sqref="J1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6">
        <f t="shared" ref="I3:I10" si="0">M3</f>
        <v>78099.210526315786</v>
      </c>
      <c r="J3" s="1"/>
      <c r="K3" s="1" t="s">
        <v>25</v>
      </c>
      <c r="L3" s="1"/>
      <c r="M3" s="5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6">
        <f t="shared" si="0"/>
        <v>72278.421052631587</v>
      </c>
      <c r="J4" s="1"/>
      <c r="K4" s="1" t="s">
        <v>25</v>
      </c>
      <c r="L4" s="1"/>
      <c r="M4" s="5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6">
        <f t="shared" si="0"/>
        <v>67733.421052631587</v>
      </c>
      <c r="J5" s="1"/>
      <c r="K5" s="1" t="s">
        <v>25</v>
      </c>
      <c r="L5" s="1"/>
      <c r="M5" s="5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6">
        <f t="shared" si="0"/>
        <v>76504.473684210534</v>
      </c>
      <c r="J6" s="1"/>
      <c r="K6" s="1" t="s">
        <v>25</v>
      </c>
      <c r="L6" s="1"/>
      <c r="M6" s="5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6">
        <f t="shared" si="0"/>
        <v>77301.84210526316</v>
      </c>
      <c r="J7" s="1"/>
      <c r="K7" s="1" t="s">
        <v>25</v>
      </c>
      <c r="L7" s="1"/>
      <c r="M7" s="5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6">
        <f t="shared" si="0"/>
        <v>69647.105263157893</v>
      </c>
      <c r="J8" s="1"/>
      <c r="K8" s="1" t="s">
        <v>25</v>
      </c>
      <c r="L8" s="1"/>
      <c r="M8" s="5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6">
        <f t="shared" si="0"/>
        <v>74830</v>
      </c>
      <c r="J9" s="1"/>
      <c r="K9" s="1" t="s">
        <v>25</v>
      </c>
      <c r="L9" s="1"/>
      <c r="M9" s="5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6">
        <f t="shared" si="0"/>
        <v>97236.052631578947</v>
      </c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9D1D-483E-48F2-ADAB-DFF52736FC78}">
  <dimension ref="A1:N17"/>
  <sheetViews>
    <sheetView workbookViewId="0">
      <selection activeCell="K17" sqref="K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900001</v>
      </c>
      <c r="B2" s="1" t="s">
        <v>47</v>
      </c>
      <c r="C2" s="1" t="s">
        <v>48</v>
      </c>
      <c r="D2" s="1" t="s">
        <v>38</v>
      </c>
      <c r="E2" s="1" t="s">
        <v>30</v>
      </c>
      <c r="F2" s="1" t="s">
        <v>49</v>
      </c>
      <c r="G2" s="1">
        <v>3</v>
      </c>
      <c r="H2" s="1">
        <v>35.5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900002</v>
      </c>
      <c r="B3" s="1"/>
      <c r="C3" s="2"/>
      <c r="D3" s="1"/>
      <c r="E3" s="1"/>
      <c r="F3" s="1"/>
      <c r="G3" s="1">
        <v>4</v>
      </c>
      <c r="H3" s="1">
        <v>37</v>
      </c>
      <c r="I3" s="6">
        <f t="shared" ref="I3:I9" si="0">M3</f>
        <v>43812.368421052633</v>
      </c>
      <c r="J3" s="1"/>
      <c r="K3" s="1" t="s">
        <v>25</v>
      </c>
      <c r="L3" s="1"/>
      <c r="M3" s="5">
        <f t="shared" ref="M3:M10" si="1">(N3*75+N3*75*0.01+12500+4200)/0.95</f>
        <v>43812.368421052633</v>
      </c>
      <c r="N3" s="2">
        <v>329</v>
      </c>
    </row>
    <row r="4" spans="1:14" x14ac:dyDescent="0.4">
      <c r="A4" s="1">
        <v>900003</v>
      </c>
      <c r="B4" s="1"/>
      <c r="C4" s="1"/>
      <c r="D4" s="1"/>
      <c r="E4" s="1"/>
      <c r="F4" s="1"/>
      <c r="G4" s="1">
        <v>5</v>
      </c>
      <c r="H4" s="1">
        <v>38</v>
      </c>
      <c r="I4" s="6">
        <f t="shared" si="0"/>
        <v>44609.736842105267</v>
      </c>
      <c r="J4" s="1"/>
      <c r="K4" s="1" t="s">
        <v>25</v>
      </c>
      <c r="L4" s="1"/>
      <c r="M4" s="5">
        <f t="shared" si="1"/>
        <v>44609.736842105267</v>
      </c>
      <c r="N4" s="2">
        <v>339</v>
      </c>
    </row>
    <row r="5" spans="1:14" x14ac:dyDescent="0.4">
      <c r="A5" s="1">
        <v>900004</v>
      </c>
      <c r="B5" s="1"/>
      <c r="C5" s="1"/>
      <c r="D5" s="1"/>
      <c r="E5" s="1"/>
      <c r="F5" s="1"/>
      <c r="G5" s="1">
        <v>6</v>
      </c>
      <c r="H5" s="1">
        <v>39</v>
      </c>
      <c r="I5" s="6">
        <f t="shared" si="0"/>
        <v>43812.368421052633</v>
      </c>
      <c r="J5" s="1"/>
      <c r="K5" s="1" t="s">
        <v>25</v>
      </c>
      <c r="L5" s="1"/>
      <c r="M5" s="5">
        <f t="shared" si="1"/>
        <v>43812.368421052633</v>
      </c>
      <c r="N5" s="2">
        <v>329</v>
      </c>
    </row>
    <row r="6" spans="1:14" x14ac:dyDescent="0.4">
      <c r="A6" s="1">
        <v>900005</v>
      </c>
      <c r="B6" s="1"/>
      <c r="C6" s="1"/>
      <c r="D6" s="1"/>
      <c r="E6" s="1"/>
      <c r="F6" s="1"/>
      <c r="G6" s="1">
        <v>7</v>
      </c>
      <c r="H6" s="1">
        <v>40.5</v>
      </c>
      <c r="I6" s="6">
        <f t="shared" si="0"/>
        <v>45407.1052631579</v>
      </c>
      <c r="J6" s="1"/>
      <c r="K6" s="1" t="s">
        <v>25</v>
      </c>
      <c r="L6" s="1"/>
      <c r="M6" s="5">
        <f t="shared" si="1"/>
        <v>45407.1052631579</v>
      </c>
      <c r="N6" s="2">
        <v>349</v>
      </c>
    </row>
    <row r="7" spans="1:14" x14ac:dyDescent="0.4">
      <c r="A7" s="1">
        <v>900006</v>
      </c>
      <c r="B7" s="1"/>
      <c r="C7" s="1"/>
      <c r="D7" s="1"/>
      <c r="E7" s="1"/>
      <c r="F7" s="1"/>
      <c r="G7" s="1">
        <v>8</v>
      </c>
      <c r="H7" s="1">
        <v>42</v>
      </c>
      <c r="I7" s="6">
        <f t="shared" si="0"/>
        <v>47799.210526315794</v>
      </c>
      <c r="J7" s="1"/>
      <c r="K7" s="1" t="s">
        <v>25</v>
      </c>
      <c r="L7" s="1"/>
      <c r="M7" s="5">
        <f t="shared" si="1"/>
        <v>47799.210526315794</v>
      </c>
      <c r="N7" s="2">
        <v>379</v>
      </c>
    </row>
    <row r="8" spans="1:14" x14ac:dyDescent="0.4">
      <c r="A8" s="1">
        <v>900007</v>
      </c>
      <c r="B8" s="1"/>
      <c r="C8" s="1"/>
      <c r="D8" s="1"/>
      <c r="E8" s="1"/>
      <c r="F8" s="1"/>
      <c r="G8" s="1">
        <v>9</v>
      </c>
      <c r="H8" s="1">
        <v>43</v>
      </c>
      <c r="I8" s="6">
        <f t="shared" si="0"/>
        <v>49393.947368421053</v>
      </c>
      <c r="J8" s="1"/>
      <c r="K8" s="1" t="s">
        <v>25</v>
      </c>
      <c r="L8" s="1"/>
      <c r="M8" s="5">
        <f t="shared" si="1"/>
        <v>49393.947368421053</v>
      </c>
      <c r="N8" s="2">
        <v>399</v>
      </c>
    </row>
    <row r="9" spans="1:14" x14ac:dyDescent="0.4">
      <c r="A9" s="1">
        <v>900008</v>
      </c>
      <c r="B9" s="1"/>
      <c r="C9" s="1"/>
      <c r="D9" s="1"/>
      <c r="E9" s="1"/>
      <c r="F9" s="1"/>
      <c r="G9" s="1">
        <v>10</v>
      </c>
      <c r="H9" s="1">
        <v>44.5</v>
      </c>
      <c r="I9" s="6">
        <f t="shared" si="0"/>
        <v>48596.57894736842</v>
      </c>
      <c r="J9" s="1"/>
      <c r="K9" s="1" t="s">
        <v>25</v>
      </c>
      <c r="L9" s="1"/>
      <c r="M9" s="5">
        <f t="shared" si="1"/>
        <v>48596.57894736842</v>
      </c>
      <c r="N9" s="2">
        <v>389</v>
      </c>
    </row>
    <row r="10" spans="1:14" x14ac:dyDescent="0.4">
      <c r="A10" s="1">
        <v>900009</v>
      </c>
      <c r="B10" s="1"/>
      <c r="C10" s="1"/>
      <c r="D10" s="1"/>
      <c r="E10" s="1"/>
      <c r="F10" s="1"/>
      <c r="G10" s="1"/>
      <c r="H10" s="1"/>
      <c r="I10" s="6"/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900010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900011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900012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900013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900014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900015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900016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8C7-496E-4AC5-9F63-2C6E81B9B7D4}">
  <dimension ref="A1:N17"/>
  <sheetViews>
    <sheetView workbookViewId="0">
      <selection activeCell="N17" sqref="N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110001</v>
      </c>
      <c r="B2" s="1" t="s">
        <v>50</v>
      </c>
      <c r="C2" s="1" t="s">
        <v>52</v>
      </c>
      <c r="D2" s="1" t="s">
        <v>38</v>
      </c>
      <c r="E2" s="1" t="s">
        <v>30</v>
      </c>
      <c r="F2" s="1" t="s">
        <v>51</v>
      </c>
      <c r="G2" s="1"/>
      <c r="H2" s="1">
        <v>35</v>
      </c>
      <c r="I2" s="6">
        <f>M2</f>
        <v>49154.736842105267</v>
      </c>
      <c r="J2" s="1"/>
      <c r="K2" s="1" t="s">
        <v>32</v>
      </c>
      <c r="L2" s="1"/>
      <c r="M2" s="5">
        <f>(N2*75+N2*75*0.01+12500+4200)/0.95</f>
        <v>49154.736842105267</v>
      </c>
      <c r="N2" s="2">
        <v>396</v>
      </c>
    </row>
    <row r="3" spans="1:14" x14ac:dyDescent="0.4">
      <c r="A3" s="1">
        <v>110002</v>
      </c>
      <c r="B3" s="1"/>
      <c r="C3" s="2"/>
      <c r="D3" s="1"/>
      <c r="E3" s="1"/>
      <c r="F3" s="1"/>
      <c r="G3" s="1"/>
      <c r="H3" s="1">
        <v>36</v>
      </c>
      <c r="I3" s="6">
        <f t="shared" ref="I3:I12" si="0">M3</f>
        <v>49154.736842105267</v>
      </c>
      <c r="J3" s="1"/>
      <c r="K3" s="1" t="s">
        <v>25</v>
      </c>
      <c r="L3" s="1"/>
      <c r="M3" s="5">
        <f t="shared" ref="M3:M12" si="1">(N3*75+N3*75*0.01+12500+4200)/0.95</f>
        <v>49154.736842105267</v>
      </c>
      <c r="N3" s="2">
        <v>396</v>
      </c>
    </row>
    <row r="4" spans="1:14" x14ac:dyDescent="0.4">
      <c r="A4" s="1">
        <v>110003</v>
      </c>
      <c r="B4" s="1"/>
      <c r="C4" s="1"/>
      <c r="D4" s="1"/>
      <c r="E4" s="1"/>
      <c r="F4" s="1"/>
      <c r="G4" s="1"/>
      <c r="H4" s="1">
        <v>37</v>
      </c>
      <c r="I4" s="6">
        <f t="shared" si="0"/>
        <v>49154.736842105267</v>
      </c>
      <c r="J4" s="1"/>
      <c r="K4" s="1" t="s">
        <v>25</v>
      </c>
      <c r="L4" s="1"/>
      <c r="M4" s="5">
        <f t="shared" si="1"/>
        <v>49154.736842105267</v>
      </c>
      <c r="N4" s="2">
        <v>396</v>
      </c>
    </row>
    <row r="5" spans="1:14" x14ac:dyDescent="0.4">
      <c r="A5" s="1">
        <v>110004</v>
      </c>
      <c r="B5" s="1"/>
      <c r="C5" s="1"/>
      <c r="D5" s="1"/>
      <c r="E5" s="1"/>
      <c r="F5" s="1"/>
      <c r="G5" s="1"/>
      <c r="H5" s="1">
        <v>38</v>
      </c>
      <c r="I5" s="6">
        <f t="shared" si="0"/>
        <v>49154.736842105267</v>
      </c>
      <c r="J5" s="1"/>
      <c r="K5" s="1" t="s">
        <v>25</v>
      </c>
      <c r="L5" s="1"/>
      <c r="M5" s="5">
        <f t="shared" si="1"/>
        <v>49154.736842105267</v>
      </c>
      <c r="N5" s="2">
        <v>396</v>
      </c>
    </row>
    <row r="6" spans="1:14" x14ac:dyDescent="0.4">
      <c r="A6" s="1">
        <v>110005</v>
      </c>
      <c r="B6" s="1"/>
      <c r="C6" s="1"/>
      <c r="D6" s="1"/>
      <c r="E6" s="1"/>
      <c r="F6" s="1"/>
      <c r="G6" s="1"/>
      <c r="H6" s="1">
        <v>39</v>
      </c>
      <c r="I6" s="6">
        <f t="shared" si="0"/>
        <v>49154.736842105267</v>
      </c>
      <c r="J6" s="1"/>
      <c r="K6" s="1" t="s">
        <v>25</v>
      </c>
      <c r="L6" s="1"/>
      <c r="M6" s="5">
        <f t="shared" si="1"/>
        <v>49154.736842105267</v>
      </c>
      <c r="N6" s="2">
        <v>396</v>
      </c>
    </row>
    <row r="7" spans="1:14" x14ac:dyDescent="0.4">
      <c r="A7" s="1">
        <v>110006</v>
      </c>
      <c r="B7" s="1"/>
      <c r="C7" s="1"/>
      <c r="D7" s="1"/>
      <c r="E7" s="1"/>
      <c r="F7" s="1"/>
      <c r="G7" s="1"/>
      <c r="H7" s="1">
        <v>40</v>
      </c>
      <c r="I7" s="6">
        <f t="shared" si="0"/>
        <v>49154.736842105267</v>
      </c>
      <c r="J7" s="1"/>
      <c r="K7" s="1" t="s">
        <v>25</v>
      </c>
      <c r="L7" s="1"/>
      <c r="M7" s="5">
        <f t="shared" si="1"/>
        <v>49154.736842105267</v>
      </c>
      <c r="N7" s="2">
        <v>396</v>
      </c>
    </row>
    <row r="8" spans="1:14" x14ac:dyDescent="0.4">
      <c r="A8" s="1">
        <v>110007</v>
      </c>
      <c r="B8" s="1"/>
      <c r="C8" s="1"/>
      <c r="D8" s="1"/>
      <c r="E8" s="1"/>
      <c r="F8" s="1"/>
      <c r="G8" s="1"/>
      <c r="H8" s="1">
        <v>41</v>
      </c>
      <c r="I8" s="6">
        <f t="shared" si="0"/>
        <v>49154.736842105267</v>
      </c>
      <c r="J8" s="1"/>
      <c r="K8" s="1" t="s">
        <v>25</v>
      </c>
      <c r="L8" s="1"/>
      <c r="M8" s="5">
        <f t="shared" si="1"/>
        <v>49154.736842105267</v>
      </c>
      <c r="N8" s="2">
        <v>396</v>
      </c>
    </row>
    <row r="9" spans="1:14" x14ac:dyDescent="0.4">
      <c r="A9" s="1">
        <v>110008</v>
      </c>
      <c r="B9" s="1"/>
      <c r="C9" s="1"/>
      <c r="D9" s="1"/>
      <c r="E9" s="1"/>
      <c r="F9" s="1"/>
      <c r="G9" s="1"/>
      <c r="H9" s="1">
        <v>42</v>
      </c>
      <c r="I9" s="6">
        <f t="shared" si="0"/>
        <v>49154.736842105267</v>
      </c>
      <c r="J9" s="1"/>
      <c r="K9" s="1" t="s">
        <v>25</v>
      </c>
      <c r="L9" s="1"/>
      <c r="M9" s="5">
        <f t="shared" si="1"/>
        <v>49154.736842105267</v>
      </c>
      <c r="N9" s="2">
        <v>396</v>
      </c>
    </row>
    <row r="10" spans="1:14" x14ac:dyDescent="0.4">
      <c r="A10" s="1">
        <v>110009</v>
      </c>
      <c r="B10" s="1"/>
      <c r="C10" s="1"/>
      <c r="D10" s="1"/>
      <c r="E10" s="1"/>
      <c r="F10" s="1"/>
      <c r="G10" s="1"/>
      <c r="H10" s="1">
        <v>43</v>
      </c>
      <c r="I10" s="6">
        <f t="shared" si="0"/>
        <v>49154.736842105267</v>
      </c>
      <c r="J10" s="1"/>
      <c r="K10" s="1" t="s">
        <v>25</v>
      </c>
      <c r="L10" s="1"/>
      <c r="M10" s="5">
        <f t="shared" si="1"/>
        <v>49154.736842105267</v>
      </c>
      <c r="N10" s="2">
        <v>396</v>
      </c>
    </row>
    <row r="11" spans="1:14" x14ac:dyDescent="0.4">
      <c r="A11" s="1">
        <v>110010</v>
      </c>
      <c r="B11" s="1"/>
      <c r="C11" s="1"/>
      <c r="D11" s="1"/>
      <c r="E11" s="1"/>
      <c r="F11" s="1"/>
      <c r="G11" s="1"/>
      <c r="H11" s="1">
        <v>44</v>
      </c>
      <c r="I11" s="6">
        <f t="shared" si="0"/>
        <v>49154.736842105267</v>
      </c>
      <c r="J11" s="1"/>
      <c r="K11" s="1" t="s">
        <v>25</v>
      </c>
      <c r="L11" s="1"/>
      <c r="M11" s="5">
        <f t="shared" si="1"/>
        <v>49154.736842105267</v>
      </c>
      <c r="N11" s="2">
        <v>396</v>
      </c>
    </row>
    <row r="12" spans="1:14" x14ac:dyDescent="0.4">
      <c r="A12" s="1">
        <v>110011</v>
      </c>
      <c r="B12" s="1"/>
      <c r="C12" s="1"/>
      <c r="D12" s="1"/>
      <c r="E12" s="1"/>
      <c r="F12" s="1"/>
      <c r="G12" s="1"/>
      <c r="H12" s="1">
        <v>45</v>
      </c>
      <c r="I12" s="6">
        <f t="shared" si="0"/>
        <v>49154.736842105267</v>
      </c>
      <c r="J12" s="1"/>
      <c r="K12" s="1" t="s">
        <v>25</v>
      </c>
      <c r="L12" s="1"/>
      <c r="M12" s="5">
        <f t="shared" si="1"/>
        <v>49154.736842105267</v>
      </c>
      <c r="N12" s="2">
        <v>396</v>
      </c>
    </row>
    <row r="13" spans="1:14" x14ac:dyDescent="0.4">
      <c r="A13" s="1">
        <v>110012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110013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110014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110015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110016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7DAE-5F88-4DCD-935A-6D905A01DBED}">
  <dimension ref="A1:N27"/>
  <sheetViews>
    <sheetView topLeftCell="A5" workbookViewId="0">
      <selection activeCell="F17" sqref="F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120001</v>
      </c>
      <c r="B2" s="1" t="s">
        <v>53</v>
      </c>
      <c r="C2" s="1" t="s">
        <v>53</v>
      </c>
      <c r="D2" s="1" t="s">
        <v>6</v>
      </c>
      <c r="E2" s="1" t="s">
        <v>55</v>
      </c>
      <c r="F2" s="1" t="s">
        <v>54</v>
      </c>
      <c r="G2" s="1"/>
      <c r="H2" s="1">
        <v>38</v>
      </c>
      <c r="I2" s="6">
        <f>M2</f>
        <v>40303.947368421053</v>
      </c>
      <c r="J2" s="1"/>
      <c r="K2" s="1" t="s">
        <v>25</v>
      </c>
      <c r="L2" s="1"/>
      <c r="M2" s="5">
        <f>(N2*75+N2*75*0.01+12500+4200)/0.95</f>
        <v>40303.947368421053</v>
      </c>
      <c r="N2" s="2">
        <v>285</v>
      </c>
    </row>
    <row r="3" spans="1:14" x14ac:dyDescent="0.4">
      <c r="A3" s="1">
        <v>120002</v>
      </c>
      <c r="B3" s="1"/>
      <c r="C3" s="2"/>
      <c r="D3" s="1"/>
      <c r="E3" s="1"/>
      <c r="F3" s="1"/>
      <c r="G3" s="1"/>
      <c r="H3" s="1">
        <v>39</v>
      </c>
      <c r="I3" s="6">
        <f t="shared" ref="I3:I25" si="0">M3</f>
        <v>39745.789473684214</v>
      </c>
      <c r="J3" s="1"/>
      <c r="K3" s="1" t="s">
        <v>25</v>
      </c>
      <c r="L3" s="1"/>
      <c r="M3" s="5">
        <f t="shared" ref="M3:M25" si="1">(N3*75+N3*75*0.01+12500+4200)/0.95</f>
        <v>39745.789473684214</v>
      </c>
      <c r="N3" s="2">
        <v>278</v>
      </c>
    </row>
    <row r="4" spans="1:14" x14ac:dyDescent="0.4">
      <c r="A4" s="1">
        <v>120003</v>
      </c>
      <c r="B4" s="1"/>
      <c r="C4" s="1"/>
      <c r="D4" s="1"/>
      <c r="E4" s="1"/>
      <c r="F4" s="1"/>
      <c r="G4" s="1"/>
      <c r="H4" s="1">
        <v>40</v>
      </c>
      <c r="I4" s="6">
        <f t="shared" si="0"/>
        <v>41021.57894736842</v>
      </c>
      <c r="J4" s="1"/>
      <c r="K4" s="1" t="s">
        <v>25</v>
      </c>
      <c r="L4" s="1"/>
      <c r="M4" s="5">
        <f t="shared" si="1"/>
        <v>41021.57894736842</v>
      </c>
      <c r="N4" s="2">
        <v>294</v>
      </c>
    </row>
    <row r="5" spans="1:14" x14ac:dyDescent="0.4">
      <c r="A5" s="1">
        <v>120004</v>
      </c>
      <c r="B5" s="1"/>
      <c r="C5" s="1"/>
      <c r="D5" s="1"/>
      <c r="E5" s="1"/>
      <c r="F5" s="1"/>
      <c r="G5" s="1"/>
      <c r="H5" s="1">
        <v>41</v>
      </c>
      <c r="I5" s="6">
        <f t="shared" si="0"/>
        <v>40463.42105263158</v>
      </c>
      <c r="J5" s="1"/>
      <c r="K5" s="1" t="s">
        <v>25</v>
      </c>
      <c r="L5" s="1"/>
      <c r="M5" s="5">
        <f t="shared" si="1"/>
        <v>40463.42105263158</v>
      </c>
      <c r="N5" s="2">
        <v>287</v>
      </c>
    </row>
    <row r="6" spans="1:14" x14ac:dyDescent="0.4">
      <c r="A6" s="1">
        <v>120005</v>
      </c>
      <c r="B6" s="1"/>
      <c r="C6" s="1"/>
      <c r="D6" s="1"/>
      <c r="E6" s="1"/>
      <c r="F6" s="1"/>
      <c r="G6" s="1"/>
      <c r="H6" s="1">
        <v>42</v>
      </c>
      <c r="I6" s="6">
        <f t="shared" si="0"/>
        <v>40463.42105263158</v>
      </c>
      <c r="J6" s="1"/>
      <c r="K6" s="1" t="s">
        <v>25</v>
      </c>
      <c r="L6" s="1"/>
      <c r="M6" s="5">
        <f t="shared" si="1"/>
        <v>40463.42105263158</v>
      </c>
      <c r="N6" s="2">
        <v>287</v>
      </c>
    </row>
    <row r="7" spans="1:14" x14ac:dyDescent="0.4">
      <c r="A7" s="1">
        <v>120006</v>
      </c>
      <c r="B7" s="1"/>
      <c r="C7" s="1"/>
      <c r="D7" s="1"/>
      <c r="E7" s="1"/>
      <c r="F7" s="1"/>
      <c r="G7" s="1"/>
      <c r="H7" s="1">
        <v>43</v>
      </c>
      <c r="I7" s="6">
        <f t="shared" si="0"/>
        <v>39985</v>
      </c>
      <c r="J7" s="1"/>
      <c r="K7" s="1" t="s">
        <v>25</v>
      </c>
      <c r="L7" s="1"/>
      <c r="M7" s="5">
        <f t="shared" si="1"/>
        <v>39985</v>
      </c>
      <c r="N7" s="2">
        <v>281</v>
      </c>
    </row>
    <row r="8" spans="1:14" x14ac:dyDescent="0.4">
      <c r="A8" s="1">
        <v>120007</v>
      </c>
      <c r="B8" s="1"/>
      <c r="C8" s="1"/>
      <c r="D8" s="1"/>
      <c r="E8" s="1"/>
      <c r="F8" s="1"/>
      <c r="G8" s="1"/>
      <c r="H8" s="1">
        <v>44</v>
      </c>
      <c r="I8" s="6">
        <f t="shared" si="0"/>
        <v>39267.368421052633</v>
      </c>
      <c r="J8" s="1"/>
      <c r="K8" s="1" t="s">
        <v>25</v>
      </c>
      <c r="L8" s="1"/>
      <c r="M8" s="5">
        <f t="shared" si="1"/>
        <v>39267.368421052633</v>
      </c>
      <c r="N8" s="2">
        <v>272</v>
      </c>
    </row>
    <row r="9" spans="1:14" x14ac:dyDescent="0.4">
      <c r="A9" s="1">
        <v>120008</v>
      </c>
      <c r="B9" s="1"/>
      <c r="C9" s="1"/>
      <c r="D9" s="1"/>
      <c r="E9" s="1"/>
      <c r="F9" s="1"/>
      <c r="G9" s="1"/>
      <c r="H9" s="1">
        <v>45</v>
      </c>
      <c r="I9" s="6">
        <f t="shared" si="0"/>
        <v>40941.84210526316</v>
      </c>
      <c r="J9" s="1"/>
      <c r="K9" s="1" t="s">
        <v>25</v>
      </c>
      <c r="L9" s="1"/>
      <c r="M9" s="5">
        <f t="shared" si="1"/>
        <v>40941.84210526316</v>
      </c>
      <c r="N9" s="2">
        <v>293</v>
      </c>
    </row>
    <row r="10" spans="1:14" x14ac:dyDescent="0.4">
      <c r="A10" s="1">
        <v>120009</v>
      </c>
      <c r="B10" s="1"/>
      <c r="C10" s="1"/>
      <c r="D10" s="1"/>
      <c r="E10" s="1"/>
      <c r="F10" s="1"/>
      <c r="G10" s="1"/>
      <c r="H10" s="1">
        <v>46</v>
      </c>
      <c r="I10" s="6">
        <f t="shared" si="0"/>
        <v>47001.84210526316</v>
      </c>
      <c r="J10" s="1"/>
      <c r="K10" s="1" t="s">
        <v>25</v>
      </c>
      <c r="L10" s="1"/>
      <c r="M10" s="5">
        <f t="shared" si="1"/>
        <v>47001.84210526316</v>
      </c>
      <c r="N10" s="2">
        <v>369</v>
      </c>
    </row>
    <row r="11" spans="1:14" x14ac:dyDescent="0.4">
      <c r="A11" s="1">
        <v>120010</v>
      </c>
      <c r="B11" s="1"/>
      <c r="C11" s="1"/>
      <c r="D11" s="1"/>
      <c r="E11" s="1"/>
      <c r="F11" s="1"/>
      <c r="G11" s="1"/>
      <c r="H11" s="1">
        <v>47</v>
      </c>
      <c r="I11" s="6">
        <f t="shared" si="0"/>
        <v>49393.947368421053</v>
      </c>
      <c r="J11" s="1"/>
      <c r="K11" s="1" t="s">
        <v>25</v>
      </c>
      <c r="L11" s="1"/>
      <c r="M11" s="5">
        <f t="shared" si="1"/>
        <v>49393.947368421053</v>
      </c>
      <c r="N11" s="2">
        <v>399</v>
      </c>
    </row>
    <row r="12" spans="1:14" x14ac:dyDescent="0.4">
      <c r="A12" s="1">
        <v>120011</v>
      </c>
      <c r="B12" s="1"/>
      <c r="C12" s="1" t="s">
        <v>56</v>
      </c>
      <c r="D12" s="1" t="s">
        <v>57</v>
      </c>
      <c r="E12" s="1" t="s">
        <v>55</v>
      </c>
      <c r="F12" s="1" t="s">
        <v>58</v>
      </c>
      <c r="G12" s="8">
        <v>4.5</v>
      </c>
      <c r="H12" s="1">
        <v>34</v>
      </c>
      <c r="I12" s="6">
        <f t="shared" si="0"/>
        <v>17578.947368421053</v>
      </c>
      <c r="J12" s="1"/>
      <c r="K12" s="1" t="s">
        <v>32</v>
      </c>
      <c r="L12" s="1"/>
      <c r="M12" s="5">
        <f t="shared" si="1"/>
        <v>17578.947368421053</v>
      </c>
      <c r="N12" s="2"/>
    </row>
    <row r="13" spans="1:14" x14ac:dyDescent="0.4">
      <c r="A13" s="1">
        <v>120012</v>
      </c>
      <c r="B13" s="1"/>
      <c r="C13" s="1"/>
      <c r="D13" s="1"/>
      <c r="E13" s="1"/>
      <c r="F13" s="1"/>
      <c r="G13" s="1">
        <v>5</v>
      </c>
      <c r="H13" s="1">
        <v>35</v>
      </c>
      <c r="I13" s="6">
        <f t="shared" si="0"/>
        <v>42217.631578947374</v>
      </c>
      <c r="J13" s="1"/>
      <c r="K13" s="1" t="s">
        <v>25</v>
      </c>
      <c r="L13" s="1"/>
      <c r="M13" s="5">
        <f t="shared" si="1"/>
        <v>42217.631578947374</v>
      </c>
      <c r="N13" s="2">
        <v>309</v>
      </c>
    </row>
    <row r="14" spans="1:14" x14ac:dyDescent="0.4">
      <c r="A14" s="1">
        <v>120013</v>
      </c>
      <c r="B14" s="1"/>
      <c r="C14" s="1"/>
      <c r="D14" s="1"/>
      <c r="E14" s="1"/>
      <c r="F14" s="1"/>
      <c r="G14" s="8">
        <v>5.5</v>
      </c>
      <c r="H14" s="1">
        <v>36</v>
      </c>
      <c r="I14" s="6">
        <f t="shared" si="0"/>
        <v>41340.526315789473</v>
      </c>
      <c r="J14" s="1"/>
      <c r="K14" s="1" t="s">
        <v>25</v>
      </c>
      <c r="L14" s="1"/>
      <c r="M14" s="5">
        <f t="shared" si="1"/>
        <v>41340.526315789473</v>
      </c>
      <c r="N14" s="2">
        <v>298</v>
      </c>
    </row>
    <row r="15" spans="1:14" x14ac:dyDescent="0.4">
      <c r="A15" s="1">
        <v>120014</v>
      </c>
      <c r="B15" s="1"/>
      <c r="C15" s="1"/>
      <c r="D15" s="1"/>
      <c r="E15" s="1"/>
      <c r="F15" s="1"/>
      <c r="G15" s="1">
        <v>6</v>
      </c>
      <c r="H15" s="1">
        <v>37</v>
      </c>
      <c r="I15" s="6">
        <f t="shared" si="0"/>
        <v>41101.315789473687</v>
      </c>
      <c r="J15" s="1"/>
      <c r="K15" s="1" t="s">
        <v>25</v>
      </c>
      <c r="L15" s="1"/>
      <c r="M15" s="5">
        <f t="shared" si="1"/>
        <v>41101.315789473687</v>
      </c>
      <c r="N15" s="2">
        <v>295</v>
      </c>
    </row>
    <row r="16" spans="1:14" x14ac:dyDescent="0.4">
      <c r="A16" s="1">
        <v>120015</v>
      </c>
      <c r="B16" s="1"/>
      <c r="C16" s="1"/>
      <c r="D16" s="1"/>
      <c r="E16" s="1"/>
      <c r="F16" s="1"/>
      <c r="G16" s="8">
        <v>6.5</v>
      </c>
      <c r="H16" s="1">
        <v>38</v>
      </c>
      <c r="I16" s="6">
        <f t="shared" si="0"/>
        <v>42217.631578947374</v>
      </c>
      <c r="J16" s="1"/>
      <c r="K16" s="1" t="s">
        <v>25</v>
      </c>
      <c r="L16" s="1"/>
      <c r="M16" s="5">
        <f t="shared" si="1"/>
        <v>42217.631578947374</v>
      </c>
      <c r="N16" s="2">
        <v>309</v>
      </c>
    </row>
    <row r="17" spans="1:14" x14ac:dyDescent="0.4">
      <c r="A17" s="1">
        <v>120016</v>
      </c>
      <c r="B17" s="1"/>
      <c r="C17" s="1"/>
      <c r="D17" s="1"/>
      <c r="E17" s="1"/>
      <c r="F17" s="1"/>
      <c r="G17" s="1">
        <v>7</v>
      </c>
      <c r="H17" s="1">
        <v>39</v>
      </c>
      <c r="I17" s="6">
        <f t="shared" si="0"/>
        <v>42775.789473684214</v>
      </c>
      <c r="J17" s="1"/>
      <c r="K17" s="1" t="s">
        <v>25</v>
      </c>
      <c r="L17" s="1"/>
      <c r="M17" s="5">
        <f t="shared" si="1"/>
        <v>42775.789473684214</v>
      </c>
      <c r="N17" s="2">
        <v>316</v>
      </c>
    </row>
    <row r="18" spans="1:14" x14ac:dyDescent="0.4">
      <c r="A18" s="1">
        <v>120017</v>
      </c>
      <c r="B18" s="7"/>
      <c r="C18" s="7"/>
      <c r="D18" s="7"/>
      <c r="E18" s="7"/>
      <c r="F18" s="7"/>
      <c r="G18" s="8">
        <v>7.5</v>
      </c>
      <c r="H18" s="1">
        <v>40</v>
      </c>
      <c r="I18" s="6">
        <f t="shared" si="0"/>
        <v>42775.789473684214</v>
      </c>
      <c r="J18" s="7"/>
      <c r="K18" s="1" t="s">
        <v>25</v>
      </c>
      <c r="L18" s="7"/>
      <c r="M18" s="5">
        <f t="shared" si="1"/>
        <v>42775.789473684214</v>
      </c>
      <c r="N18" s="2">
        <v>316</v>
      </c>
    </row>
    <row r="19" spans="1:14" x14ac:dyDescent="0.4">
      <c r="A19" s="1">
        <v>120018</v>
      </c>
      <c r="B19" s="7"/>
      <c r="C19" s="7"/>
      <c r="D19" s="7"/>
      <c r="E19" s="1" t="s">
        <v>43</v>
      </c>
      <c r="F19" s="7" t="s">
        <v>59</v>
      </c>
      <c r="G19" s="8">
        <v>4.5</v>
      </c>
      <c r="H19" s="1">
        <v>34</v>
      </c>
      <c r="I19" s="6">
        <f t="shared" si="0"/>
        <v>42775.789473684214</v>
      </c>
      <c r="J19" s="7"/>
      <c r="K19" s="1" t="s">
        <v>32</v>
      </c>
      <c r="L19" s="7"/>
      <c r="M19" s="5">
        <f t="shared" si="1"/>
        <v>42775.789473684214</v>
      </c>
      <c r="N19" s="2">
        <v>316</v>
      </c>
    </row>
    <row r="20" spans="1:14" x14ac:dyDescent="0.4">
      <c r="A20" s="1">
        <v>120019</v>
      </c>
      <c r="B20" s="7"/>
      <c r="C20" s="7"/>
      <c r="D20" s="7"/>
      <c r="E20" s="7"/>
      <c r="F20" s="7"/>
      <c r="G20" s="1">
        <v>5</v>
      </c>
      <c r="H20" s="1">
        <v>35</v>
      </c>
      <c r="I20" s="6">
        <f t="shared" si="0"/>
        <v>42775.789473684214</v>
      </c>
      <c r="J20" s="7"/>
      <c r="K20" s="1" t="s">
        <v>25</v>
      </c>
      <c r="L20" s="7"/>
      <c r="M20" s="5">
        <f t="shared" si="1"/>
        <v>42775.789473684214</v>
      </c>
      <c r="N20" s="2">
        <v>316</v>
      </c>
    </row>
    <row r="21" spans="1:14" x14ac:dyDescent="0.4">
      <c r="A21" s="1">
        <v>120020</v>
      </c>
      <c r="B21" s="7"/>
      <c r="C21" s="7"/>
      <c r="D21" s="7"/>
      <c r="E21" s="7"/>
      <c r="F21" s="7"/>
      <c r="G21" s="8">
        <v>5.5</v>
      </c>
      <c r="H21" s="1">
        <v>36</v>
      </c>
      <c r="I21" s="6">
        <f t="shared" si="0"/>
        <v>42775.789473684214</v>
      </c>
      <c r="J21" s="7"/>
      <c r="K21" s="1" t="s">
        <v>25</v>
      </c>
      <c r="L21" s="7"/>
      <c r="M21" s="5">
        <f t="shared" si="1"/>
        <v>42775.789473684214</v>
      </c>
      <c r="N21" s="2">
        <v>316</v>
      </c>
    </row>
    <row r="22" spans="1:14" x14ac:dyDescent="0.4">
      <c r="A22" s="1">
        <v>120021</v>
      </c>
      <c r="B22" s="7"/>
      <c r="C22" s="7"/>
      <c r="D22" s="7"/>
      <c r="E22" s="7"/>
      <c r="F22" s="7"/>
      <c r="G22" s="1">
        <v>6</v>
      </c>
      <c r="H22" s="1">
        <v>37</v>
      </c>
      <c r="I22" s="6">
        <f t="shared" si="0"/>
        <v>42217.631578947374</v>
      </c>
      <c r="J22" s="7"/>
      <c r="K22" s="1" t="s">
        <v>25</v>
      </c>
      <c r="L22" s="7"/>
      <c r="M22" s="5">
        <f t="shared" si="1"/>
        <v>42217.631578947374</v>
      </c>
      <c r="N22" s="2">
        <v>309</v>
      </c>
    </row>
    <row r="23" spans="1:14" x14ac:dyDescent="0.4">
      <c r="A23" s="1">
        <v>120022</v>
      </c>
      <c r="B23" s="7"/>
      <c r="C23" s="7"/>
      <c r="D23" s="7"/>
      <c r="E23" s="7"/>
      <c r="F23" s="7"/>
      <c r="G23" s="8">
        <v>6.5</v>
      </c>
      <c r="H23" s="1">
        <v>38</v>
      </c>
      <c r="I23" s="6">
        <f t="shared" si="0"/>
        <v>42217.631578947374</v>
      </c>
      <c r="J23" s="7"/>
      <c r="K23" s="1" t="s">
        <v>25</v>
      </c>
      <c r="L23" s="7"/>
      <c r="M23" s="5">
        <f t="shared" si="1"/>
        <v>42217.631578947374</v>
      </c>
      <c r="N23" s="2">
        <v>309</v>
      </c>
    </row>
    <row r="24" spans="1:14" x14ac:dyDescent="0.4">
      <c r="A24" s="1">
        <v>120023</v>
      </c>
      <c r="B24" s="7"/>
      <c r="C24" s="7"/>
      <c r="D24" s="7"/>
      <c r="E24" s="7"/>
      <c r="F24" s="7"/>
      <c r="G24" s="1">
        <v>7</v>
      </c>
      <c r="H24" s="1">
        <v>39</v>
      </c>
      <c r="I24" s="6">
        <f t="shared" si="0"/>
        <v>42217.631578947374</v>
      </c>
      <c r="J24" s="7"/>
      <c r="K24" s="1" t="s">
        <v>25</v>
      </c>
      <c r="L24" s="7"/>
      <c r="M24" s="5">
        <f t="shared" si="1"/>
        <v>42217.631578947374</v>
      </c>
      <c r="N24" s="2">
        <v>309</v>
      </c>
    </row>
    <row r="25" spans="1:14" x14ac:dyDescent="0.4">
      <c r="A25" s="1">
        <v>120024</v>
      </c>
      <c r="B25" s="7"/>
      <c r="C25" s="7"/>
      <c r="D25" s="7"/>
      <c r="E25" s="7"/>
      <c r="F25" s="7"/>
      <c r="G25" s="8">
        <v>7.5</v>
      </c>
      <c r="H25" s="1">
        <v>40</v>
      </c>
      <c r="I25" s="6">
        <f t="shared" si="0"/>
        <v>42217.631578947374</v>
      </c>
      <c r="J25" s="7"/>
      <c r="K25" s="1" t="s">
        <v>25</v>
      </c>
      <c r="L25" s="7"/>
      <c r="M25" s="5">
        <f t="shared" si="1"/>
        <v>42217.631578947374</v>
      </c>
      <c r="N25" s="2">
        <v>309</v>
      </c>
    </row>
    <row r="26" spans="1:14" x14ac:dyDescent="0.4">
      <c r="A26" s="1">
        <v>120025</v>
      </c>
      <c r="B26" s="7"/>
      <c r="C26" s="7"/>
      <c r="D26" s="7"/>
      <c r="E26" s="7"/>
      <c r="F26" s="7"/>
      <c r="G26" s="1"/>
      <c r="H26" s="1"/>
      <c r="I26" s="7"/>
      <c r="J26" s="7"/>
      <c r="K26" s="7"/>
      <c r="L26" s="7"/>
    </row>
    <row r="27" spans="1:14" x14ac:dyDescent="0.4">
      <c r="A27" s="1">
        <v>120026</v>
      </c>
      <c r="B27" s="7"/>
      <c r="C27" s="7"/>
      <c r="D27" s="7"/>
      <c r="E27" s="7"/>
      <c r="F27" s="7"/>
      <c r="G27" s="1"/>
      <c r="H27" s="1"/>
      <c r="I27" s="7"/>
      <c r="J27" s="7"/>
      <c r="K27" s="7"/>
      <c r="L2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Nike</vt:lpstr>
      <vt:lpstr>Mizuno</vt:lpstr>
      <vt:lpstr>Hoka</vt:lpstr>
      <vt:lpstr>The North Face</vt:lpstr>
      <vt:lpstr>Timberland</vt:lpstr>
      <vt:lpstr>Adidas</vt:lpstr>
      <vt:lpstr>Native</vt:lpstr>
      <vt:lpstr>Dickies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2025-11-23T10:00:11Z</dcterms:modified>
</cp:coreProperties>
</file>