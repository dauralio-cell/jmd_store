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D8491E7A-F85F-4DA5-B878-CF38C2F13AEA}"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342" i="3" l="1"/>
  <c r="I342" i="3"/>
  <c r="M341" i="3"/>
  <c r="I341" i="3" s="1"/>
  <c r="M340" i="3"/>
  <c r="I340" i="3" s="1"/>
  <c r="M339" i="3"/>
  <c r="I339" i="3"/>
  <c r="M338" i="3"/>
  <c r="I338" i="3" s="1"/>
  <c r="M337" i="3"/>
  <c r="I337" i="3" s="1"/>
  <c r="M336" i="3"/>
  <c r="I336" i="3"/>
  <c r="I3" i="16"/>
  <c r="M3" i="16"/>
  <c r="M11" i="10"/>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<sst xmlns="http://schemas.openxmlformats.org/spreadsheetml/2006/main" count="830" uniqueCount="145">
  <si>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</si>
  <si>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</si>
  <si>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</si>
  <si>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</si>
  <si>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</si>
  <si>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</si>
  <si>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</si>
  <si>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</si>
  <si>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</si>
  <si>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</si>
  <si>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</si>
  <si>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</si>
  <si>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</si>
  <si>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</si>
  <si>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</si>
  <si>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</si>
  <si>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</si>
  <si>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</si>
  <si>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</si>
  <si>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</si>
  <si>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</si>
  <si>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</si>
  <si>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</si>
  <si>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</si>
  <si>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</si>
  <si>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</si>
  <si>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</si>
  <si>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</si>
  <si>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</si>
  <si>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</si>
  <si>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</si>
  <si>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</si>
  <si>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</si>
  <si>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</si>
  <si>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</si>
  <si>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</si>
  <si>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</si>
  <si>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</si>
  <si>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</si>
  <si>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</si>
  <si>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</si>
  <si>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</si>
  <si>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</si>
  <si>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</si>
  <si>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</si>
  <si>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</si>
  <si>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</si>
  <si>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</si>
  <si>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</si>
  <si>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</si>
  <si>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</si>
  <si>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</si>
  <si>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</si>
  <si>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</si>
  <si>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</si>
  <si>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</si>
  <si>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</si>
  <si>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</si>
  <si>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</si>
  <si>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</si>
  <si>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</si>
  <si>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</si>
  <si>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</si>
  <si>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</si>
  <si>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</si>
  <si>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</si>
  <si>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</si>
  <si>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</si>
  <si>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</si>
  <si>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</si>
  <si>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</si>
  <si>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</si>
  <si>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</si>
  <si>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</si>
  <si>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</si>
  <si>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</si>
  <si>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</si>
  <si>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</si>
  <si>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</si>
  <si>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</si>
  <si>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</si>
  <si>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</si>
  <si>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</si>
  <si>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</si>
  <si>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</si>
  <si>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</si>
  <si>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</si>
  <si>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</si>
  <si>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</si>
  <si>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</si>
  <si>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</si>
  <si>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</si>
  <si>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</si>
  <si>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</si>
  <si>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</si>
  <si>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</si>
  <si>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</si>
  <si>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</si>
  <si>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</si>
  <si>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</si>
  <si>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</si>
  <si>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</si>
  <si>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</si>
  <si>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</si>
  <si>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</si>
  <si>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</si>
  <si>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</si>
  <si>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</si>
  <si>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</si>
  <si>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</si>
  <si>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K13</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</si>
  <si>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</si>
  <si>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</si>
  <si>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</si>
  <si>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</si>
  <si>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</si>
  <si>
    <t>900010_1 900010_2 900010_3 900010_4 900010_5 900010_6</t>
  </si>
  <si>
    <t>130002_1 130002_2 130002_3 130002_4</t>
  </si>
  <si>
    <t>k12</t>
  </si>
  <si>
    <t>Court Borough Low 2</t>
  </si>
  <si>
    <t>100335_1 100335_2 100335_3 100335_4 100335_5 100335_6</t>
  </si>
  <si>
    <t>Кроссовки Nike Court Borough Low 2 (GS) выполнены в классическом баскетбольном ретро-стиле, адаптированном для повседневного ношения. Верх сочетает натуральную и синтетическую кожу, обеспечивая прочность и поддержку. Модель отличается низким профилем, плотной фиксацией стопы за счёт шнуровки (иногда с липучкой в детских версиях) и перфорацией для вентиляции. Резиновая подошва с протектором обеспечивает сцепление и долговечность, а гибкие желобки улучшают естественное движение стопы.</t>
  </si>
  <si>
    <t>100336_1 100336_2 100336_3</t>
  </si>
  <si>
    <t>Revolution 6 NN</t>
  </si>
  <si>
    <t>100338_1 100338_2 100338_3 100338_4 100338_5 100338_6</t>
  </si>
  <si>
    <t>Эта модель выделяется уникальным дизайном и превосходными характеристиками. Верхняя часть выполнена из сетчатого материала, обеспечивающего отличную воздухопроницаемость, что позволяет ногам оставаться сухими и комфортными даже во время длительных тренировок. Сетчатый материал также обладает хорошими амортизирующими свойствами, эффективно снижая ударную нагрузку при беге и обеспечивая стабильную поддержку стопы.
Кроме того, кроссовки отличаются противоскользящими и износостойкими свойствами. Подошва изготовлена из специальной резиновой смеси, обеспечивающей превосходное сцепление с поверхностью и долговечность. Благодаря этому обувь гарантирует устойчивость как на ровной дороге, так и на сложном рельефе. Резиновая подошва также обладает хорошей упругостью, создавая комфортную амортизацию и снижая усталость ног.
В дизайне Nike REVOLUTION 6 Next Nature Low NN использована классическая черно-белая цветовая гамма, сочетающая минимализм и современность. Низкий силуэт не только подчеркивает линии стопы, но и обеспечивает повышенную гибкость и свободу движений во время активности.</t>
  </si>
  <si>
    <t>5y</t>
  </si>
  <si>
    <t>4y</t>
  </si>
  <si>
    <t>7y</t>
  </si>
  <si>
    <t>https://ibb.co.com/qMZNjg2v
https://ibb.co.com/8nXXptJh 
https://ibb.co.com/xSf1R34J 
https://ibb.co.com/bjVzWtHV 
https://ibb.co.com/Zz2ZFSs6 
https://ibb.co.com/RGGtkY9L</t>
  </si>
  <si>
    <t>https://ibb.co.com/HL9sCCvq
https://ibb.co.com/pvFkhMQK
https://ibb.co.com/sp1k7mt7
https://ibb.co.com/M5fPNLgd</t>
  </si>
  <si>
    <t>https://ibb.co.com/pBnKmYp3
https://ibb.co.com/DP4Q2qhw
https://ibb.co.com/tw2qGfKD</t>
  </si>
  <si>
    <t>https://ibb.co.com/kVnjLhST
https://ibb.co.com/jZrG5VD4
https://ibb.co.com/fVfk5tbk
https://ibb.co.com/840Khwpy
https://ibb.co.com/gM01nrbj
https://ibb.co.com/ZpCL07Z2</t>
  </si>
  <si>
    <t>https://ibb.co.com/Qvxk9yf0
https://ibb.co.com/ZpNh8TLk
https://ibb.co.com/pBz6GC1J
https://ibb.co.com/svyYfZ5w
https://ibb.co.com/zTrKmB47
https://ibb.co.com/gMdqw04Q</t>
  </si>
  <si>
    <t>pink</t>
  </si>
  <si>
    <t>100339_1 100339_2 100339_3 100339_4 100339_5 100339_6</t>
  </si>
  <si>
    <t>10,5c</t>
  </si>
  <si>
    <t>Nike Revolution 6 Next Nature (PSV) DD1095-608 — детские кроссовки для повседневной носки и лёгкого бега; лёгкий текстильный верх обеспечивает воздухопроницаемость и комфорт; мягкая пенная подошва даёт амортизацию при каждом шаге; резиновая подмётка гарантирует надёжное сцепление; эластичные шнурки и липучка обеспечивают удобное надевание и фиксацию; усиленный носок повышает износостойкость; модель содержит не менее 20% переработанных материалов.</t>
  </si>
  <si>
    <t>girls</t>
  </si>
  <si>
    <t>100340_1 100340_2 100340_3 100340_4 100340_5 100340_6</t>
  </si>
  <si>
    <t>12,5c</t>
  </si>
  <si>
    <t>100341_1 100341_2 100341_3 100341_4 100341_5 100341_6</t>
  </si>
  <si>
    <t>https://ibb.co.com/Rky7vx2r
https://ibb.co.com/mC5NWGsd
https://ibb.co.com/k2R0SQWZ
https://ibb.co.com/MDMVPzfn
https://ibb.co.com/spgKpjVP
https://ibb.co.com/XxszYJjz</t>
  </si>
  <si>
    <t>https://ibb.co.com/9mBN1Bc8
https://ibb.co.com/gFhrBvPj
https://ibb.co.com/Bk0BwdN
https://ibb.co.com/0pQ4fGFG
https://ibb.co.com/mVNkB4HR
https://ibb.co.com/0pMvccCB</t>
  </si>
  <si>
    <t>Revolution 6 NN PSV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</si>
</sst>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4"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
      <u/>
      <sz val="11"/>
      <color theme="10"/>
      <name val="Calibri"/>
      <family val="2"/>
      <charset val="204"/>
      <scheme val="minor"/>
    </font>
  </fonts>
  <fills count="3">
    <fill>
      <patternFill patternType="none"/>
    </fill>
    <fill>
      <patternFill patternType="gray125"/>
    </fill>
    <fill>
      <patternFill patternType="solid">
        <fgColor rgb="FFFFFFFF"/>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17">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2" fillId="2" borderId="0" xfId="0" applyFont="1" applyFill="1" applyAlignment="1">
      <alignment horizontal="center" vertical="center"/>
    </xf>
    <xf numFmtId="0" fontId="0" fillId="0" borderId="0" xfId="0" applyAlignment="1">
      <alignment horizontal="center" vertical="center" wrapText="1"/>
    </xf>
    <xf numFmtId="0" fontId="0" fillId="0" borderId="3" xfId="0" applyBorder="1" applyAlignment="1">
      <alignment horizontal="center" vertical="center"/>
    </xf>
    <xf numFmtId="0" fontId="3" fillId="0" borderId="0" xfId="1" applyBorder="1" applyAlignment="1">
      <alignment wrapText="1"/>
    </xf>
  </cellXfs>
  <cellStyles count="2">
    <cellStyle name="Гиперссылка" xfId="1" builtinId="8"/>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https://ibb.co.com/qMZNjg2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O363"/>
  <sheetViews>
    <sheetView tabSelected="1" zoomScale="60" zoomScaleNormal="60" workbookViewId="0">
      <pane ySplit="1" topLeftCell="A340" activePane="bottomLeft" state="frozen"/>
      <selection pane="bottomLeft" activeCell="C340" sqref="C340"/>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4" width="9.23046875" style="2"/>
    <col min="15" max="15" width="27.3046875" style="2" customWidth="1"/>
    <col min="16"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42"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42"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5"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5"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5"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5"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5"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5"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5"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5"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5"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5"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5"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5"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5"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5"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5"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row r="336" spans="1:15" ht="75" customHeight="1" x14ac:dyDescent="0.4">
      <c r="A336" s="1">
        <v>100335</v>
      </c>
      <c r="B336" s="1"/>
      <c r="C336" s="1" t="s">
        <v>119</v>
      </c>
      <c r="D336" s="1" t="s">
        <v>38</v>
      </c>
      <c r="E336" s="1" t="s">
        <v>7</v>
      </c>
      <c r="F336" s="1" t="s">
        <v>120</v>
      </c>
      <c r="G336" s="1" t="s">
        <v>126</v>
      </c>
      <c r="H336" s="1">
        <v>37.5</v>
      </c>
      <c r="I336" s="1">
        <f t="shared" si="14"/>
        <v>50112.368421052633</v>
      </c>
      <c r="J336" s="1"/>
      <c r="K336" s="1" t="s">
        <v>25</v>
      </c>
      <c r="L336" s="1" t="s">
        <v>121</v>
      </c>
      <c r="M336" s="2">
        <f t="shared" si="13"/>
        <v>50112.368421052633</v>
      </c>
      <c r="N336" s="2">
        <v>309</v>
      </c>
      <c r="O336" s="14" t="s">
        <v>131</v>
      </c>
    </row>
    <row r="337" spans="1:15" ht="87.45" x14ac:dyDescent="0.4">
      <c r="A337" s="1">
        <v>100336</v>
      </c>
      <c r="B337" s="1"/>
      <c r="C337" s="1"/>
      <c r="D337" s="1" t="s">
        <v>38</v>
      </c>
      <c r="E337" s="1" t="s">
        <v>43</v>
      </c>
      <c r="F337" s="1" t="s">
        <v>122</v>
      </c>
      <c r="G337" s="1" t="s">
        <v>127</v>
      </c>
      <c r="H337" s="1">
        <v>36</v>
      </c>
      <c r="I337" s="1">
        <f t="shared" si="14"/>
        <v>53301.84210526316</v>
      </c>
      <c r="J337" s="1"/>
      <c r="K337" s="1" t="s">
        <v>25</v>
      </c>
      <c r="L337" s="1" t="s">
        <v>121</v>
      </c>
      <c r="M337" s="2">
        <f t="shared" si="13"/>
        <v>53301.84210526316</v>
      </c>
      <c r="N337" s="2">
        <v>349</v>
      </c>
      <c r="O337" s="14" t="s">
        <v>132</v>
      </c>
    </row>
    <row r="338" spans="1:15" x14ac:dyDescent="0.4">
      <c r="A338" s="1">
        <v>100337</v>
      </c>
      <c r="B338" s="1"/>
      <c r="C338" s="1"/>
      <c r="D338" s="1"/>
      <c r="E338" s="1"/>
      <c r="F338" s="1"/>
      <c r="G338" s="1" t="s">
        <v>128</v>
      </c>
      <c r="H338" s="1">
        <v>40</v>
      </c>
      <c r="I338" s="1">
        <f t="shared" si="14"/>
        <v>53301.84210526316</v>
      </c>
      <c r="J338" s="1"/>
      <c r="K338" s="1" t="s">
        <v>25</v>
      </c>
      <c r="L338" s="1"/>
      <c r="M338" s="2">
        <f t="shared" si="13"/>
        <v>53301.84210526316</v>
      </c>
      <c r="N338" s="2">
        <v>349</v>
      </c>
    </row>
    <row r="339" spans="1:15" ht="378.9" x14ac:dyDescent="0.4">
      <c r="A339" s="1">
        <v>100338</v>
      </c>
      <c r="B339" s="1"/>
      <c r="C339" s="1" t="s">
        <v>123</v>
      </c>
      <c r="D339" s="1" t="s">
        <v>38</v>
      </c>
      <c r="E339" s="1" t="s">
        <v>43</v>
      </c>
      <c r="F339" s="1" t="s">
        <v>124</v>
      </c>
      <c r="G339" s="1">
        <v>8</v>
      </c>
      <c r="H339" s="1">
        <v>41</v>
      </c>
      <c r="I339" s="1">
        <f t="shared" si="14"/>
        <v>48118.947368421053</v>
      </c>
      <c r="J339" s="1"/>
      <c r="K339" s="1" t="s">
        <v>25</v>
      </c>
      <c r="L339" s="9" t="s">
        <v>125</v>
      </c>
      <c r="M339" s="2">
        <f t="shared" si="13"/>
        <v>48118.947368421053</v>
      </c>
      <c r="N339" s="2">
        <v>284</v>
      </c>
      <c r="O339" s="14" t="s">
        <v>133</v>
      </c>
    </row>
    <row r="340" spans="1:15" ht="87.45" x14ac:dyDescent="0.4">
      <c r="A340" s="1">
        <v>100339</v>
      </c>
      <c r="B340" s="1"/>
      <c r="C340" s="1" t="s">
        <v>144</v>
      </c>
      <c r="D340" s="1" t="s">
        <v>138</v>
      </c>
      <c r="E340" s="1" t="s">
        <v>134</v>
      </c>
      <c r="F340" s="1" t="s">
        <v>135</v>
      </c>
      <c r="G340" s="1" t="s">
        <v>136</v>
      </c>
      <c r="H340" s="1">
        <v>27.5</v>
      </c>
      <c r="I340" s="1">
        <f t="shared" si="14"/>
        <v>25553.42105263158</v>
      </c>
      <c r="J340" s="1"/>
      <c r="K340" s="1" t="s">
        <v>25</v>
      </c>
      <c r="L340" s="1" t="s">
        <v>137</v>
      </c>
      <c r="M340" s="2">
        <f t="shared" si="13"/>
        <v>25553.42105263158</v>
      </c>
      <c r="N340" s="2">
        <v>1</v>
      </c>
      <c r="O340" s="14" t="s">
        <v>142</v>
      </c>
    </row>
    <row r="341" spans="1:15" ht="87.45" x14ac:dyDescent="0.4">
      <c r="A341" s="1">
        <v>100340</v>
      </c>
      <c r="B341" s="1"/>
      <c r="C341" s="1"/>
      <c r="D341" s="1" t="s">
        <v>113</v>
      </c>
      <c r="E341" s="1" t="s">
        <v>43</v>
      </c>
      <c r="F341" s="1" t="s">
        <v>139</v>
      </c>
      <c r="G341" s="1" t="s">
        <v>140</v>
      </c>
      <c r="H341" s="1">
        <v>30</v>
      </c>
      <c r="I341" s="1">
        <f t="shared" si="14"/>
        <v>25553.42105263158</v>
      </c>
      <c r="J341" s="1"/>
      <c r="K341" s="1" t="s">
        <v>25</v>
      </c>
      <c r="L341" s="1" t="s">
        <v>137</v>
      </c>
      <c r="M341" s="2">
        <f t="shared" si="13"/>
        <v>25553.42105263158</v>
      </c>
      <c r="N341" s="2">
        <v>1</v>
      </c>
      <c r="O341" s="14" t="s">
        <v>133</v>
      </c>
    </row>
    <row r="342" spans="1:15" ht="87.45" x14ac:dyDescent="0.4">
      <c r="A342" s="1">
        <v>100341</v>
      </c>
      <c r="B342" s="1"/>
      <c r="C342" s="1"/>
      <c r="D342" s="1" t="s">
        <v>113</v>
      </c>
      <c r="E342" s="1" t="s">
        <v>86</v>
      </c>
      <c r="F342" s="1" t="s">
        <v>141</v>
      </c>
      <c r="G342" s="1">
        <v>13.5</v>
      </c>
      <c r="H342" s="1">
        <v>31.5</v>
      </c>
      <c r="I342" s="1">
        <f t="shared" si="14"/>
        <v>25553.42105263158</v>
      </c>
      <c r="J342" s="1"/>
      <c r="K342" s="1" t="s">
        <v>25</v>
      </c>
      <c r="L342" s="1" t="s">
        <v>137</v>
      </c>
      <c r="M342" s="2">
        <f t="shared" si="13"/>
        <v>25553.42105263158</v>
      </c>
      <c r="N342" s="2">
        <v>1</v>
      </c>
      <c r="O342" s="14" t="s">
        <v>143</v>
      </c>
    </row>
    <row r="343" spans="1:15" x14ac:dyDescent="0.4">
      <c r="A343" s="15">
        <v>100342</v>
      </c>
    </row>
    <row r="344" spans="1:15" x14ac:dyDescent="0.4">
      <c r="A344" s="1">
        <v>100343</v>
      </c>
    </row>
    <row r="345" spans="1:15" x14ac:dyDescent="0.4">
      <c r="A345" s="1">
        <v>100344</v>
      </c>
    </row>
    <row r="346" spans="1:15" x14ac:dyDescent="0.4">
      <c r="A346" s="1">
        <v>100345</v>
      </c>
    </row>
    <row r="347" spans="1:15" x14ac:dyDescent="0.4">
      <c r="A347" s="1">
        <v>100346</v>
      </c>
    </row>
    <row r="348" spans="1:15" x14ac:dyDescent="0.4">
      <c r="A348" s="1">
        <v>100347</v>
      </c>
    </row>
    <row r="349" spans="1:15" x14ac:dyDescent="0.4">
      <c r="A349" s="1">
        <v>100348</v>
      </c>
    </row>
    <row r="350" spans="1:15" x14ac:dyDescent="0.4">
      <c r="A350" s="1">
        <v>100349</v>
      </c>
    </row>
    <row r="351" spans="1:15" x14ac:dyDescent="0.4">
      <c r="A351" s="1">
        <v>100350</v>
      </c>
    </row>
    <row r="352" spans="1:15" x14ac:dyDescent="0.4">
      <c r="A352" s="1">
        <v>100351</v>
      </c>
    </row>
    <row r="353" spans="1:1" x14ac:dyDescent="0.4">
      <c r="A353" s="1">
        <v>100352</v>
      </c>
    </row>
    <row r="354" spans="1:1" x14ac:dyDescent="0.4">
      <c r="A354" s="1">
        <v>100353</v>
      </c>
    </row>
    <row r="355" spans="1:1" x14ac:dyDescent="0.4">
      <c r="A355" s="1">
        <v>100354</v>
      </c>
    </row>
    <row r="356" spans="1:1" x14ac:dyDescent="0.4">
      <c r="A356" s="1">
        <v>100355</v>
      </c>
    </row>
    <row r="357" spans="1:1" x14ac:dyDescent="0.4">
      <c r="A357" s="1">
        <v>100356</v>
      </c>
    </row>
    <row r="358" spans="1:1" x14ac:dyDescent="0.4">
      <c r="A358" s="1">
        <v>100357</v>
      </c>
    </row>
    <row r="359" spans="1:1" x14ac:dyDescent="0.4">
      <c r="A359" s="1">
        <v>100358</v>
      </c>
    </row>
    <row r="360" spans="1:1" x14ac:dyDescent="0.4">
      <c r="A360" s="1">
        <v>100359</v>
      </c>
    </row>
    <row r="361" spans="1:1" x14ac:dyDescent="0.4">
      <c r="A361" s="1">
        <v>100360</v>
      </c>
    </row>
    <row r="362" spans="1:1" x14ac:dyDescent="0.4">
      <c r="A362" s="1">
        <v>100361</v>
      </c>
    </row>
    <row r="363" spans="1:1" x14ac:dyDescent="0.4">
      <c r="A363" s="1">
        <v>100362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7"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F11" sqref="F11"/>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1"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t="s">
        <v>112</v>
      </c>
      <c r="D11" s="1" t="s">
        <v>113</v>
      </c>
      <c r="E11" s="1" t="s">
        <v>86</v>
      </c>
      <c r="F11" s="1" t="s">
        <v>116</v>
      </c>
      <c r="G11" s="1" t="s">
        <v>114</v>
      </c>
      <c r="H11" s="1">
        <v>29</v>
      </c>
      <c r="I11" s="5">
        <v>23000</v>
      </c>
      <c r="J11" s="1"/>
      <c r="K11" s="1" t="s">
        <v>25</v>
      </c>
      <c r="L11" t="s">
        <v>115</v>
      </c>
      <c r="M11" s="4">
        <f t="shared" si="1"/>
        <v>22363.157894736843</v>
      </c>
      <c r="N11" s="2">
        <v>60</v>
      </c>
    </row>
    <row r="12" spans="1:14" x14ac:dyDescent="0.4">
      <c r="A12" s="1">
        <v>900011</v>
      </c>
      <c r="B12" s="1"/>
      <c r="C12" s="1"/>
      <c r="D12" s="1"/>
      <c r="E12" s="1"/>
      <c r="F12" s="1"/>
      <c r="G12" s="1"/>
      <c r="H12" s="1"/>
      <c r="I12" s="5"/>
      <c r="J12" s="1"/>
      <c r="K12" s="1"/>
      <c r="L12" s="6"/>
      <c r="M12" s="4"/>
      <c r="N12" s="2"/>
    </row>
    <row r="13" spans="1:14" x14ac:dyDescent="0.4">
      <c r="A13" s="1">
        <v>900012</v>
      </c>
      <c r="B13" s="1"/>
      <c r="C13" s="1"/>
      <c r="D13" s="1"/>
      <c r="E13" s="1"/>
      <c r="F13" s="1"/>
      <c r="G13" s="1"/>
      <c r="H13" s="1"/>
      <c r="I13" s="5"/>
      <c r="J13" s="1"/>
      <c r="K13" s="1"/>
      <c r="L13" s="6"/>
      <c r="M13" s="4"/>
      <c r="N13" s="2"/>
    </row>
    <row r="14" spans="1:14" x14ac:dyDescent="0.4">
      <c r="A14" s="1">
        <v>900013</v>
      </c>
      <c r="B14" s="1"/>
      <c r="C14" s="1"/>
      <c r="D14" s="1"/>
      <c r="E14" s="1"/>
      <c r="F14" s="1"/>
      <c r="G14" s="1"/>
      <c r="H14" s="1"/>
      <c r="I14" s="5"/>
      <c r="J14" s="1"/>
      <c r="K14" s="1"/>
      <c r="L14" s="6"/>
      <c r="M14" s="4"/>
      <c r="N14" s="2"/>
    </row>
    <row r="15" spans="1:14" x14ac:dyDescent="0.4">
      <c r="A15" s="1">
        <v>900014</v>
      </c>
      <c r="B15" s="1"/>
      <c r="C15" s="1"/>
      <c r="D15" s="1"/>
      <c r="E15" s="1"/>
      <c r="F15" s="1"/>
      <c r="G15" s="1"/>
      <c r="H15" s="1"/>
      <c r="I15" s="5"/>
      <c r="J15" s="1"/>
      <c r="K15" s="1"/>
      <c r="L15" s="6"/>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16"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4"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topLeftCell="C2" zoomScale="60" zoomScaleNormal="60" workbookViewId="0">
      <selection activeCell="S2" sqref="S2"/>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 min="15" max="15" width="26.53515625" bestFit="1"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row>
    <row r="2" spans="1:18" ht="291.45" x14ac:dyDescent="0.4">
      <c r="A2" s="1">
        <v>130001</v>
      </c>
      <c r="B2" s="1" t="s">
        <v>106</v>
      </c>
      <c r="C2" s="1" t="s">
        <v>107</v>
      </c>
      <c r="D2" s="1" t="s">
        <v>108</v>
      </c>
      <c r="E2" s="1" t="s">
        <v>86</v>
      </c>
      <c r="F2" s="1" t="s">
        <v>109</v>
      </c>
      <c r="G2" s="12" t="s">
        <v>110</v>
      </c>
      <c r="H2" s="12">
        <v>31.5</v>
      </c>
      <c r="I2" s="5">
        <f>M2</f>
        <v>23160.526315789473</v>
      </c>
      <c r="J2" s="1"/>
      <c r="K2" s="1" t="s">
        <v>25</v>
      </c>
      <c r="L2" s="9" t="s">
        <v>111</v>
      </c>
      <c r="M2" s="4">
        <f>(N2*75+N2*75*0.01+12500+4200)/0.95</f>
        <v>23160.526315789473</v>
      </c>
      <c r="N2" s="2">
        <v>70</v>
      </c>
      <c r="O2" s="8" t="s">
        <v>130</v>
      </c>
      <c r="P2" s="13"/>
      <c r="Q2" s="13"/>
      <c r="R2" s="13"/>
    </row>
    <row r="3" spans="1:18" ht="291.45" x14ac:dyDescent="0.4">
      <c r="A3" s="1">
        <v>130002</v>
      </c>
      <c r="B3" s="1"/>
      <c r="C3" s="1" t="s">
        <v>107</v>
      </c>
      <c r="D3" s="1" t="s">
        <v>108</v>
      </c>
      <c r="E3" s="1" t="s">
        <v>43</v>
      </c>
      <c r="F3" s="1" t="s">
        <v>117</v>
      </c>
      <c r="G3" s="12" t="s">
        <v>118</v>
      </c>
      <c r="H3" s="12">
        <v>30</v>
      </c>
      <c r="I3" s="5">
        <f>M3</f>
        <v>23160.526315789473</v>
      </c>
      <c r="J3" s="1"/>
      <c r="K3" s="1" t="s">
        <v>25</v>
      </c>
      <c r="L3" s="9" t="s">
        <v>111</v>
      </c>
      <c r="M3" s="4">
        <f>(N3*75+N3*75*0.01+12500+4200)/0.95</f>
        <v>23160.526315789473</v>
      </c>
      <c r="N3" s="2">
        <v>70</v>
      </c>
      <c r="O3" s="16" t="s">
        <v>129</v>
      </c>
      <c r="P3" s="13"/>
      <c r="Q3" s="13"/>
      <c r="R3" s="13"/>
    </row>
    <row r="4" spans="1:18" x14ac:dyDescent="0.4">
      <c r="A4" s="1">
        <v>130003</v>
      </c>
      <c r="B4" s="1"/>
      <c r="C4" s="1"/>
      <c r="D4" s="1"/>
      <c r="E4" s="1"/>
      <c r="F4" s="1"/>
      <c r="G4" s="12"/>
      <c r="H4" s="12"/>
      <c r="I4" s="5"/>
      <c r="J4" s="1"/>
      <c r="K4" s="1"/>
      <c r="L4" s="1"/>
      <c r="M4" s="4"/>
      <c r="N4" s="2"/>
      <c r="P4" s="13"/>
      <c r="Q4" s="13"/>
      <c r="R4" s="13"/>
    </row>
    <row r="5" spans="1:18" x14ac:dyDescent="0.4">
      <c r="A5" s="1">
        <v>130004</v>
      </c>
      <c r="B5" s="1"/>
      <c r="C5" s="1"/>
      <c r="D5" s="1"/>
      <c r="E5" s="1"/>
      <c r="F5" s="1"/>
      <c r="G5" s="12"/>
      <c r="H5" s="12"/>
      <c r="I5" s="5"/>
      <c r="J5" s="1"/>
      <c r="K5" s="1"/>
      <c r="L5" s="1"/>
      <c r="M5" s="4"/>
      <c r="N5" s="2"/>
      <c r="P5" s="13"/>
      <c r="Q5" s="13"/>
      <c r="R5" s="13"/>
    </row>
    <row r="6" spans="1:18" x14ac:dyDescent="0.4">
      <c r="A6" s="1">
        <v>130005</v>
      </c>
      <c r="B6" s="1"/>
      <c r="C6" s="1"/>
      <c r="D6" s="1"/>
      <c r="E6" s="1"/>
      <c r="F6" s="1"/>
      <c r="G6" s="12"/>
      <c r="H6" s="12"/>
      <c r="I6" s="5"/>
      <c r="J6" s="1"/>
      <c r="K6" s="1"/>
      <c r="L6" s="1"/>
      <c r="M6" s="4"/>
      <c r="N6" s="2"/>
      <c r="P6" s="13"/>
      <c r="Q6" s="13"/>
      <c r="R6" s="13"/>
    </row>
    <row r="7" spans="1:18" x14ac:dyDescent="0.4">
      <c r="A7" s="1">
        <v>130006</v>
      </c>
      <c r="B7" s="1"/>
      <c r="C7" s="1"/>
      <c r="D7" s="1"/>
      <c r="E7" s="1"/>
      <c r="F7" s="1"/>
      <c r="G7" s="12"/>
      <c r="H7" s="12"/>
      <c r="I7" s="5"/>
      <c r="J7" s="1"/>
      <c r="K7" s="1"/>
      <c r="L7" s="1"/>
      <c r="M7" s="4"/>
      <c r="N7" s="2"/>
      <c r="P7" s="13"/>
      <c r="Q7" s="13"/>
      <c r="R7" s="13"/>
    </row>
    <row r="8" spans="1:18" x14ac:dyDescent="0.4">
      <c r="A8" s="1">
        <v>130007</v>
      </c>
      <c r="B8" s="1"/>
      <c r="C8" s="1"/>
      <c r="D8" s="1"/>
      <c r="E8" s="1"/>
      <c r="F8" s="1"/>
      <c r="G8" s="12"/>
      <c r="H8" s="12"/>
      <c r="I8" s="5"/>
      <c r="J8" s="1"/>
      <c r="K8" s="1"/>
      <c r="L8" s="1"/>
      <c r="M8" s="4"/>
      <c r="N8" s="2"/>
      <c r="P8" s="13"/>
      <c r="Q8" s="13"/>
      <c r="R8" s="13"/>
    </row>
    <row r="9" spans="1:18" x14ac:dyDescent="0.4">
      <c r="A9" s="1">
        <v>130008</v>
      </c>
      <c r="B9" s="1"/>
      <c r="C9" s="1"/>
      <c r="D9" s="1"/>
      <c r="E9" s="1"/>
      <c r="F9" s="1"/>
      <c r="G9" s="12"/>
      <c r="H9" s="12"/>
      <c r="I9" s="5"/>
      <c r="J9" s="1"/>
      <c r="K9" s="1"/>
      <c r="L9" s="1"/>
      <c r="M9" s="4"/>
      <c r="N9" s="2"/>
      <c r="P9" s="13"/>
      <c r="Q9" s="13"/>
      <c r="R9" s="13"/>
    </row>
    <row r="10" spans="1:18" x14ac:dyDescent="0.4">
      <c r="A10" s="1">
        <v>130009</v>
      </c>
      <c r="B10" s="1"/>
      <c r="C10" s="1"/>
      <c r="D10" s="1"/>
      <c r="E10" s="1"/>
      <c r="F10" s="1"/>
      <c r="G10" s="12"/>
      <c r="H10" s="12"/>
      <c r="I10" s="5"/>
      <c r="J10" s="1"/>
      <c r="K10" s="1"/>
      <c r="L10" s="1"/>
      <c r="M10" s="4"/>
      <c r="N10" s="2"/>
      <c r="P10" s="13"/>
      <c r="Q10" s="13"/>
      <c r="R10" s="13"/>
    </row>
    <row r="11" spans="1:18" x14ac:dyDescent="0.4">
      <c r="A11" s="1">
        <v>130010</v>
      </c>
      <c r="B11" s="1"/>
      <c r="C11" s="1"/>
      <c r="D11" s="1"/>
      <c r="E11" s="1"/>
      <c r="F11" s="1"/>
      <c r="G11" s="12"/>
      <c r="H11" s="12"/>
      <c r="I11" s="5"/>
      <c r="J11" s="1"/>
      <c r="K11" s="1"/>
      <c r="L11" s="1"/>
      <c r="M11" s="4"/>
      <c r="N11" s="2"/>
      <c r="P11" s="13"/>
      <c r="Q11" s="13"/>
      <c r="R11" s="13"/>
    </row>
    <row r="12" spans="1:18" x14ac:dyDescent="0.4">
      <c r="A12" s="1">
        <v>130011</v>
      </c>
      <c r="B12" s="1"/>
      <c r="C12" s="1"/>
      <c r="D12" s="1"/>
      <c r="E12" s="1"/>
      <c r="F12" s="1"/>
      <c r="G12" s="12"/>
      <c r="H12" s="12"/>
      <c r="I12" s="5"/>
      <c r="J12" s="1"/>
      <c r="K12" s="1"/>
      <c r="L12" s="1"/>
      <c r="M12" s="4"/>
      <c r="N12" s="2"/>
      <c r="P12" s="13"/>
      <c r="Q12" s="13"/>
      <c r="R12" s="13"/>
    </row>
    <row r="13" spans="1:18" x14ac:dyDescent="0.4">
      <c r="A13" s="1">
        <v>130012</v>
      </c>
      <c r="B13" s="1"/>
      <c r="C13" s="1"/>
      <c r="D13" s="1"/>
      <c r="E13" s="1"/>
      <c r="F13" s="1"/>
      <c r="G13" s="12"/>
      <c r="H13" s="12"/>
      <c r="I13" s="5"/>
      <c r="J13" s="1"/>
      <c r="K13" s="1"/>
      <c r="L13" s="1"/>
      <c r="M13" s="4"/>
      <c r="N13" s="2"/>
      <c r="P13" s="13"/>
      <c r="Q13" s="13"/>
      <c r="R13" s="13"/>
    </row>
    <row r="14" spans="1:18" x14ac:dyDescent="0.4">
      <c r="A14" s="1">
        <v>130013</v>
      </c>
      <c r="B14" s="1"/>
      <c r="C14" s="1"/>
      <c r="D14" s="1"/>
      <c r="E14" s="1"/>
      <c r="F14" s="1"/>
      <c r="G14" s="12"/>
      <c r="H14" s="12"/>
      <c r="I14" s="5"/>
      <c r="J14" s="1"/>
      <c r="K14" s="1"/>
      <c r="L14" s="1"/>
      <c r="M14" s="4"/>
      <c r="N14" s="2"/>
      <c r="P14" s="13"/>
      <c r="Q14" s="13"/>
      <c r="R14" s="13"/>
    </row>
    <row r="15" spans="1:18" x14ac:dyDescent="0.4">
      <c r="A15" s="1">
        <v>130014</v>
      </c>
      <c r="B15" s="1"/>
      <c r="C15" s="1"/>
      <c r="D15" s="1"/>
      <c r="E15" s="1"/>
      <c r="F15" s="1"/>
      <c r="G15" s="12"/>
      <c r="H15" s="12"/>
      <c r="I15" s="5"/>
      <c r="J15" s="1"/>
      <c r="K15" s="1"/>
      <c r="L15" s="1"/>
      <c r="M15" s="4"/>
      <c r="N15" s="2"/>
      <c r="P15" s="13"/>
      <c r="Q15" s="13"/>
      <c r="R15" s="13"/>
    </row>
    <row r="16" spans="1:18" x14ac:dyDescent="0.4">
      <c r="A16" s="1">
        <v>130015</v>
      </c>
      <c r="B16" s="1"/>
      <c r="C16" s="1"/>
      <c r="D16" s="1"/>
      <c r="E16" s="1"/>
      <c r="F16" s="1"/>
      <c r="G16" s="12"/>
      <c r="H16" s="12"/>
      <c r="I16" s="5"/>
      <c r="J16" s="1"/>
      <c r="K16" s="1"/>
      <c r="L16" s="1"/>
      <c r="M16" s="4"/>
      <c r="N16" s="2"/>
      <c r="P16" s="13"/>
      <c r="Q16" s="13"/>
      <c r="R16" s="13"/>
    </row>
    <row r="17" spans="1:18" x14ac:dyDescent="0.4">
      <c r="A17" s="1">
        <v>130016</v>
      </c>
      <c r="B17" s="1"/>
      <c r="C17" s="1"/>
      <c r="D17" s="1"/>
      <c r="E17" s="1"/>
      <c r="F17" s="1"/>
      <c r="G17" s="12"/>
      <c r="H17" s="12"/>
      <c r="I17" s="5"/>
      <c r="J17" s="1"/>
      <c r="K17" s="1"/>
      <c r="L17" s="1"/>
      <c r="M17" s="4"/>
      <c r="N17" s="2"/>
      <c r="P17" s="13"/>
      <c r="Q17" s="13"/>
      <c r="R17" s="13"/>
    </row>
    <row r="18" spans="1:18" x14ac:dyDescent="0.4">
      <c r="A18" s="1">
        <v>130017</v>
      </c>
      <c r="B18" s="6"/>
      <c r="C18" s="6"/>
      <c r="D18" s="6"/>
      <c r="E18" s="6"/>
      <c r="F18" s="6"/>
      <c r="G18" s="12"/>
      <c r="H18" s="12"/>
      <c r="I18" s="5"/>
      <c r="J18" s="6"/>
      <c r="K18" s="1"/>
      <c r="L18" s="6"/>
      <c r="M18" s="4"/>
      <c r="N18" s="2"/>
      <c r="P18" s="13"/>
      <c r="Q18" s="13"/>
      <c r="R18" s="13"/>
    </row>
    <row r="19" spans="1:18" x14ac:dyDescent="0.4">
      <c r="A19" s="1">
        <v>130018</v>
      </c>
      <c r="B19" s="6"/>
      <c r="C19" s="6"/>
      <c r="D19" s="6"/>
      <c r="E19" s="1"/>
      <c r="F19" s="6"/>
      <c r="G19" s="12"/>
      <c r="H19" s="12"/>
      <c r="I19" s="5"/>
      <c r="J19" s="6"/>
      <c r="K19" s="1"/>
      <c r="L19" s="6"/>
      <c r="M19" s="4"/>
      <c r="N19" s="2"/>
      <c r="P19" s="13"/>
      <c r="Q19" s="13"/>
      <c r="R19" s="13"/>
    </row>
    <row r="20" spans="1:18" x14ac:dyDescent="0.4">
      <c r="A20" s="1">
        <v>130019</v>
      </c>
      <c r="B20" s="6"/>
      <c r="C20" s="6"/>
      <c r="D20" s="6"/>
      <c r="E20" s="6"/>
      <c r="F20" s="6"/>
      <c r="G20" s="12"/>
      <c r="H20" s="12"/>
      <c r="I20" s="5"/>
      <c r="J20" s="6"/>
      <c r="K20" s="1"/>
      <c r="L20" s="6"/>
      <c r="M20" s="4"/>
      <c r="N20" s="2"/>
      <c r="P20" s="13"/>
      <c r="Q20" s="13"/>
      <c r="R20" s="13"/>
    </row>
    <row r="21" spans="1:18" x14ac:dyDescent="0.4">
      <c r="A21" s="1">
        <v>130020</v>
      </c>
      <c r="B21" s="6"/>
      <c r="C21" s="6"/>
      <c r="D21" s="6"/>
      <c r="E21" s="6"/>
      <c r="F21" s="6"/>
      <c r="G21" s="12"/>
      <c r="H21" s="12"/>
      <c r="I21" s="5"/>
      <c r="J21" s="6"/>
      <c r="K21" s="1"/>
      <c r="L21" s="6"/>
      <c r="M21" s="4"/>
      <c r="N21" s="2"/>
      <c r="P21" s="13"/>
      <c r="Q21" s="13"/>
      <c r="R21" s="13"/>
    </row>
    <row r="22" spans="1:18" x14ac:dyDescent="0.4">
      <c r="A22" s="1">
        <v>130021</v>
      </c>
      <c r="B22" s="6"/>
      <c r="C22" s="6"/>
      <c r="D22" s="6"/>
      <c r="E22" s="6"/>
      <c r="F22" s="6"/>
      <c r="G22" s="12"/>
      <c r="H22" s="12"/>
      <c r="I22" s="5"/>
      <c r="J22" s="6"/>
      <c r="K22" s="1"/>
      <c r="L22" s="6"/>
      <c r="M22" s="4"/>
      <c r="N22" s="2"/>
      <c r="P22" s="13"/>
      <c r="Q22" s="13"/>
      <c r="R22" s="13"/>
    </row>
    <row r="23" spans="1:18" x14ac:dyDescent="0.4">
      <c r="A23" s="1">
        <v>130022</v>
      </c>
      <c r="B23" s="6"/>
      <c r="C23" s="6"/>
      <c r="D23" s="6"/>
      <c r="E23" s="6"/>
      <c r="F23" s="6"/>
      <c r="G23" s="7"/>
      <c r="H23" s="1"/>
      <c r="I23" s="5"/>
      <c r="J23" s="6"/>
      <c r="K23" s="1"/>
      <c r="L23" s="6"/>
      <c r="M23" s="4"/>
      <c r="N23" s="2"/>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hyperlinks>
    <hyperlink ref="O3" r:id="rId1" display="https://ibb.co.com/qMZNjg2v " xr:uid="{52187821-6BE5-4690-9EC5-C5CCF475DB6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2026-04-04T14:56:05Z</dcterms:modified>
</cp:coreProperties>
</file>