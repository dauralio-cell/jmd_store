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64D69348-E91B-4DF0-B5C4-4F2AFE56C11D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  <sheet name="Adidas" sheetId="10" r:id="rId6"/>
    <sheet name="Native" sheetId="11" r:id="rId7"/>
    <sheet name="Dickies" sheetId="13" r:id="rId8"/>
    <sheet name="Skechers" sheetId="14" r:id="rId9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95" i="3" l="1"/>
  <c r="I95" i="3" s="1"/>
  <c r="M96" i="3"/>
  <c r="I96" i="3" s="1"/>
  <c r="M97" i="3"/>
  <c r="I97" i="3" s="1"/>
  <c r="M98" i="3"/>
  <c r="I98" i="3" s="1"/>
  <c r="M99" i="3"/>
  <c r="I99" i="3" s="1"/>
  <c r="M100" i="3"/>
  <c r="M101" i="3"/>
  <c r="I101" i="3" s="1"/>
  <c r="M102" i="3"/>
  <c r="I102" i="3" s="1"/>
  <c r="M103" i="3"/>
  <c r="M104" i="3"/>
  <c r="I104" i="3" s="1"/>
  <c r="M105" i="3"/>
  <c r="I105" i="3" s="1"/>
  <c r="M106" i="3"/>
  <c r="I106" i="3" s="1"/>
  <c r="M107" i="3"/>
  <c r="I107" i="3" s="1"/>
  <c r="M108" i="3"/>
  <c r="I108" i="3" s="1"/>
  <c r="M109" i="3"/>
  <c r="I109" i="3" s="1"/>
  <c r="I100" i="3"/>
  <c r="I103" i="3"/>
  <c r="M80" i="3"/>
  <c r="I80" i="3" s="1"/>
  <c r="M81" i="3"/>
  <c r="I81" i="3" s="1"/>
  <c r="M82" i="3"/>
  <c r="M83" i="3"/>
  <c r="I83" i="3" s="1"/>
  <c r="M84" i="3"/>
  <c r="I84" i="3" s="1"/>
  <c r="M85" i="3"/>
  <c r="I85" i="3" s="1"/>
  <c r="M86" i="3"/>
  <c r="I86" i="3" s="1"/>
  <c r="M87" i="3"/>
  <c r="I87" i="3" s="1"/>
  <c r="M88" i="3"/>
  <c r="I88" i="3" s="1"/>
  <c r="M89" i="3"/>
  <c r="I89" i="3" s="1"/>
  <c r="M90" i="3"/>
  <c r="I90" i="3" s="1"/>
  <c r="M91" i="3"/>
  <c r="I91" i="3" s="1"/>
  <c r="M92" i="3"/>
  <c r="I92" i="3" s="1"/>
  <c r="M93" i="3"/>
  <c r="I93" i="3" s="1"/>
  <c r="M94" i="3"/>
  <c r="I94" i="3" s="1"/>
  <c r="I82" i="3"/>
  <c r="M71" i="3"/>
  <c r="I71" i="3" s="1"/>
  <c r="M72" i="3"/>
  <c r="M73" i="3"/>
  <c r="I73" i="3" s="1"/>
  <c r="M74" i="3"/>
  <c r="I74" i="3" s="1"/>
  <c r="M75" i="3"/>
  <c r="M76" i="3"/>
  <c r="M77" i="3"/>
  <c r="I77" i="3" s="1"/>
  <c r="M78" i="3"/>
  <c r="I78" i="3" s="1"/>
  <c r="M79" i="3"/>
  <c r="I79" i="3" s="1"/>
  <c r="I72" i="3"/>
  <c r="I75" i="3"/>
  <c r="I76" i="3"/>
  <c r="I62" i="3"/>
  <c r="I63" i="3"/>
  <c r="I64" i="3"/>
  <c r="I65" i="3"/>
  <c r="I66" i="3"/>
  <c r="I67" i="3"/>
  <c r="I68" i="3"/>
  <c r="I69" i="3"/>
  <c r="I70" i="3"/>
  <c r="M62" i="3"/>
  <c r="M63" i="3"/>
  <c r="M64" i="3"/>
  <c r="M65" i="3"/>
  <c r="M66" i="3"/>
  <c r="M67" i="3"/>
  <c r="M68" i="3"/>
  <c r="M69" i="3"/>
  <c r="M70" i="3"/>
  <c r="M25" i="14"/>
  <c r="I25" i="14"/>
  <c r="M24" i="14"/>
  <c r="I24" i="14"/>
  <c r="M23" i="14"/>
  <c r="I23" i="14"/>
  <c r="M22" i="14"/>
  <c r="I22" i="14"/>
  <c r="M21" i="14"/>
  <c r="I21" i="14"/>
  <c r="M20" i="14"/>
  <c r="I20" i="14"/>
  <c r="M19" i="14"/>
  <c r="I19" i="14"/>
  <c r="M18" i="14"/>
  <c r="I18" i="14" s="1"/>
  <c r="M17" i="14"/>
  <c r="I17" i="14"/>
  <c r="M16" i="14"/>
  <c r="I16" i="14"/>
  <c r="M15" i="14"/>
  <c r="I15" i="14"/>
  <c r="M14" i="14"/>
  <c r="I14" i="14"/>
  <c r="M13" i="14"/>
  <c r="I13" i="14"/>
  <c r="M12" i="14"/>
  <c r="I12" i="14"/>
  <c r="M11" i="14"/>
  <c r="I11" i="14"/>
  <c r="M10" i="14"/>
  <c r="I10" i="14" s="1"/>
  <c r="M9" i="14"/>
  <c r="I9" i="14"/>
  <c r="M8" i="14"/>
  <c r="I8" i="14"/>
  <c r="M7" i="14"/>
  <c r="I7" i="14"/>
  <c r="M6" i="14"/>
  <c r="I6" i="14"/>
  <c r="M5" i="14"/>
  <c r="I5" i="14"/>
  <c r="M4" i="14"/>
  <c r="I4" i="14"/>
  <c r="M3" i="14"/>
  <c r="I3" i="14"/>
  <c r="M2" i="14"/>
  <c r="I2" i="14" s="1"/>
  <c r="M47" i="3"/>
  <c r="M48" i="3"/>
  <c r="M49" i="3"/>
  <c r="M50" i="3"/>
  <c r="M51" i="3"/>
  <c r="M52" i="3"/>
  <c r="M53" i="3"/>
  <c r="I53" i="3" s="1"/>
  <c r="M54" i="3"/>
  <c r="I54" i="3" s="1"/>
  <c r="M55" i="3"/>
  <c r="I55" i="3" s="1"/>
  <c r="M56" i="3"/>
  <c r="I56" i="3" s="1"/>
  <c r="M57" i="3"/>
  <c r="M58" i="3"/>
  <c r="I58" i="3" s="1"/>
  <c r="M59" i="3"/>
  <c r="I59" i="3" s="1"/>
  <c r="M60" i="3"/>
  <c r="I60" i="3" s="1"/>
  <c r="M61" i="3"/>
  <c r="I61" i="3" s="1"/>
  <c r="I47" i="3"/>
  <c r="I48" i="3"/>
  <c r="I49" i="3"/>
  <c r="I50" i="3"/>
  <c r="I51" i="3"/>
  <c r="I52" i="3"/>
  <c r="I57" i="3"/>
  <c r="M3" i="4"/>
  <c r="M4" i="4"/>
  <c r="M5" i="4"/>
  <c r="M6" i="4"/>
  <c r="M7" i="4"/>
  <c r="M8" i="4"/>
  <c r="M9" i="4"/>
  <c r="M10" i="4"/>
  <c r="M11" i="4"/>
  <c r="M12" i="4"/>
  <c r="M13" i="4"/>
  <c r="I13" i="4" s="1"/>
  <c r="M14" i="4"/>
  <c r="I14" i="4" s="1"/>
  <c r="M15" i="4"/>
  <c r="I15" i="4" s="1"/>
  <c r="M16" i="4"/>
  <c r="I16" i="4" s="1"/>
  <c r="M17" i="4"/>
  <c r="I17" i="4" s="1"/>
  <c r="M18" i="4"/>
  <c r="I18" i="4" s="1"/>
  <c r="M19" i="4"/>
  <c r="M20" i="4"/>
  <c r="M21" i="4"/>
  <c r="M22" i="4"/>
  <c r="M23" i="4"/>
  <c r="M24" i="4"/>
  <c r="M25" i="4"/>
  <c r="M26" i="4"/>
  <c r="M27" i="4"/>
  <c r="M28" i="4"/>
  <c r="M29" i="4"/>
  <c r="I29" i="4" s="1"/>
  <c r="M30" i="4"/>
  <c r="I30" i="4" s="1"/>
  <c r="M31" i="4"/>
  <c r="I31" i="4" s="1"/>
  <c r="M32" i="4"/>
  <c r="I32" i="4" s="1"/>
  <c r="M33" i="4"/>
  <c r="I33" i="4" s="1"/>
  <c r="M2" i="4"/>
  <c r="I2" i="4" s="1"/>
  <c r="M9" i="3"/>
  <c r="M10" i="3"/>
  <c r="M11" i="3"/>
  <c r="M12" i="3"/>
  <c r="M13" i="3"/>
  <c r="M14" i="3"/>
  <c r="M15" i="3"/>
  <c r="M16" i="3"/>
  <c r="M17" i="3"/>
  <c r="I17" i="3" s="1"/>
  <c r="M18" i="3"/>
  <c r="M19" i="3"/>
  <c r="I19" i="3" s="1"/>
  <c r="M20" i="3"/>
  <c r="I20" i="3" s="1"/>
  <c r="M21" i="3"/>
  <c r="I21" i="3" s="1"/>
  <c r="M22" i="3"/>
  <c r="I22" i="3" s="1"/>
  <c r="M23" i="3"/>
  <c r="M24" i="3"/>
  <c r="I24" i="3" s="1"/>
  <c r="M25" i="3"/>
  <c r="M26" i="3"/>
  <c r="M27" i="3"/>
  <c r="M28" i="3"/>
  <c r="M29" i="3"/>
  <c r="M30" i="3"/>
  <c r="I30" i="3" s="1"/>
  <c r="M31" i="3"/>
  <c r="I31" i="3" s="1"/>
  <c r="M32" i="3"/>
  <c r="I32" i="3" s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M42" i="3"/>
  <c r="M43" i="3"/>
  <c r="M44" i="3"/>
  <c r="M45" i="3"/>
  <c r="I45" i="3" s="1"/>
  <c r="M46" i="3"/>
  <c r="M2" i="3"/>
  <c r="M3" i="3"/>
  <c r="M4" i="3"/>
  <c r="I4" i="3" s="1"/>
  <c r="M5" i="3"/>
  <c r="I5" i="3" s="1"/>
  <c r="M6" i="3"/>
  <c r="I6" i="3" s="1"/>
  <c r="M7" i="3"/>
  <c r="M8" i="3"/>
  <c r="M19" i="13"/>
  <c r="M20" i="13"/>
  <c r="M21" i="13"/>
  <c r="M22" i="13"/>
  <c r="M23" i="13"/>
  <c r="M24" i="13"/>
  <c r="M25" i="13"/>
  <c r="I19" i="13"/>
  <c r="I20" i="13"/>
  <c r="I21" i="13"/>
  <c r="I22" i="13"/>
  <c r="I23" i="13"/>
  <c r="I24" i="13"/>
  <c r="I25" i="13"/>
  <c r="M12" i="13"/>
  <c r="I12" i="13" s="1"/>
  <c r="M13" i="13"/>
  <c r="I13" i="13" s="1"/>
  <c r="M14" i="13"/>
  <c r="M15" i="13"/>
  <c r="M16" i="13"/>
  <c r="M17" i="13"/>
  <c r="M18" i="13"/>
  <c r="I14" i="13"/>
  <c r="I15" i="13"/>
  <c r="I16" i="13"/>
  <c r="I17" i="13"/>
  <c r="I18" i="13"/>
  <c r="M11" i="13"/>
  <c r="I11" i="13"/>
  <c r="M10" i="13"/>
  <c r="I10" i="13" s="1"/>
  <c r="M9" i="13"/>
  <c r="I9" i="13" s="1"/>
  <c r="M8" i="13"/>
  <c r="I8" i="13"/>
  <c r="M7" i="13"/>
  <c r="I7" i="13" s="1"/>
  <c r="M6" i="13"/>
  <c r="I6" i="13"/>
  <c r="M5" i="13"/>
  <c r="I5" i="13" s="1"/>
  <c r="M4" i="13"/>
  <c r="I4" i="13" s="1"/>
  <c r="M3" i="13"/>
  <c r="I3" i="13"/>
  <c r="M2" i="13"/>
  <c r="I2" i="13" s="1"/>
  <c r="I3" i="4"/>
  <c r="I4" i="4"/>
  <c r="I5" i="4"/>
  <c r="I6" i="4"/>
  <c r="I7" i="4"/>
  <c r="I8" i="4"/>
  <c r="I9" i="4"/>
  <c r="I10" i="4"/>
  <c r="I11" i="4"/>
  <c r="I12" i="4"/>
  <c r="I19" i="4"/>
  <c r="I20" i="4"/>
  <c r="I21" i="4"/>
  <c r="I22" i="4"/>
  <c r="I23" i="4"/>
  <c r="I24" i="4"/>
  <c r="I25" i="4"/>
  <c r="I26" i="4"/>
  <c r="I27" i="4"/>
  <c r="I28" i="4"/>
  <c r="I7" i="3"/>
  <c r="I8" i="3"/>
  <c r="I9" i="3"/>
  <c r="I12" i="3"/>
  <c r="I13" i="3"/>
  <c r="I14" i="3"/>
  <c r="I15" i="3"/>
  <c r="I16" i="3"/>
  <c r="I18" i="3"/>
  <c r="I23" i="3"/>
  <c r="I25" i="3"/>
  <c r="I41" i="3"/>
  <c r="I43" i="3"/>
  <c r="I44" i="3"/>
  <c r="I46" i="3"/>
  <c r="I2" i="3"/>
  <c r="M11" i="11"/>
  <c r="M12" i="11"/>
  <c r="I12" i="11" s="1"/>
  <c r="I9" i="11"/>
  <c r="I10" i="11"/>
  <c r="I11" i="11"/>
  <c r="M10" i="11"/>
  <c r="M9" i="11"/>
  <c r="M8" i="11"/>
  <c r="I8" i="11" s="1"/>
  <c r="M7" i="11"/>
  <c r="I7" i="11" s="1"/>
  <c r="M6" i="11"/>
  <c r="I6" i="11"/>
  <c r="M5" i="11"/>
  <c r="I5" i="11"/>
  <c r="M4" i="11"/>
  <c r="I4" i="11"/>
  <c r="M3" i="11"/>
  <c r="I3" i="11"/>
  <c r="M2" i="11"/>
  <c r="I2" i="11" s="1"/>
  <c r="M10" i="10"/>
  <c r="M9" i="10"/>
  <c r="I9" i="10"/>
  <c r="M8" i="10"/>
  <c r="I8" i="10"/>
  <c r="M7" i="10"/>
  <c r="I7" i="10" s="1"/>
  <c r="M6" i="10"/>
  <c r="I6" i="10"/>
  <c r="M5" i="10"/>
  <c r="I5" i="10" s="1"/>
  <c r="M4" i="10"/>
  <c r="I4" i="10"/>
  <c r="M3" i="10"/>
  <c r="I3" i="10" s="1"/>
  <c r="M2" i="10"/>
  <c r="I2" i="10"/>
  <c r="I42" i="3"/>
  <c r="I10" i="3"/>
  <c r="I11" i="3"/>
  <c r="I3" i="3"/>
  <c r="I26" i="3"/>
  <c r="I27" i="3"/>
  <c r="I28" i="3"/>
  <c r="I29" i="3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<sst xmlns="http://schemas.openxmlformats.org/spreadsheetml/2006/main" count="447" uniqueCount="72">
  <si>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</si>
  <si>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</si>
  <si>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</si>
  <si>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</si>
  <si>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</si>
  <si>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</si>
  <si>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</si>
  <si>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</si>
  <si>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</si>
  <si>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</si>
  <si>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</si>
  <si>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</si>
  <si>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</si>
  <si>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</si>
  <si>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</si>
  <si>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</si>
  <si>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</si>
  <si>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</si>
  <si>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</si>
  <si>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</si>
  <si>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</si>
  <si>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</si>
  <si>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</si>
  <si>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</si>
  <si>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</si>
  <si>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</si>
  <si>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</si>
  <si>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</si>
  <si>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</si>
  <si>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</si>
  <si>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</si>
  <si>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</si>
  <si>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</si>
  <si>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</si>
  <si>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</si>
  <si>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</si>
  <si>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</si>
  <si>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</si>
  <si>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</si>
  <si>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</si>
  <si>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</si>
  <si>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</si>
  <si>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</si>
  <si>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</si>
  <si>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</si>
  <si>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</si>
  <si>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</si>
  <si>
    <t>Adidas</t>
  </si>
  <si>
    <t xml:space="preserve">Puffylette </t>
  </si>
  <si>
    <t>900001_1 900001_2 900001_3 900001_4 900001_5 900001_6</t>
  </si>
  <si>
    <t>Native</t>
  </si>
  <si>
    <t>110001_1 110001_2 110001_3 110001_4 110001_5</t>
  </si>
  <si>
    <t>Fitzsimmons 3</t>
  </si>
  <si>
    <t>Dickies</t>
  </si>
  <si>
    <t>120001_1 120001_2 120001_3 120001_4 120001_5 120001_6</t>
  </si>
  <si>
    <t>yellow</t>
  </si>
  <si>
    <t>british style</t>
  </si>
  <si>
    <t>women</t>
  </si>
  <si>
    <t>120011_1 120011_2 120011_3 120011_4 120011_5 120011_6</t>
  </si>
  <si>
    <t xml:space="preserve">120018_1 120018_2 120018_3 120018_4 120018_5 </t>
  </si>
  <si>
    <t>Air Force 1 "wheat" mid</t>
  </si>
  <si>
    <t>100046_1 100046_2 100046_3 100046_4 100046_5 100046_6</t>
  </si>
  <si>
    <t>green</t>
  </si>
  <si>
    <t>100061_1 100061_2 100061_3 100061_4 100061_5</t>
  </si>
  <si>
    <t>Woodside</t>
  </si>
  <si>
    <t>100070_1 100070_2 100070_3 100070_4</t>
  </si>
  <si>
    <t>Приготовьтесь к новым приключениям с Woodside Chukka. Прочная конструкция сочетает в себе искусственный мех внутри и толстую резиновую накладку, чтобы ваши ноги оставались сухими и тёплыми.</t>
  </si>
  <si>
    <t>P-6000</t>
  </si>
  <si>
    <t>100079_1 100079_2 100079_3 100079_4 100079_5 100079_6</t>
  </si>
  <si>
    <t>Nike P-6000 әлдеқайда 2006 жылғы Nike Air Pegasus-тен шабыт алып, сізге бұрынғы 2000-ші жылдарды еске түсіретін, тыныс алуға мүмкіндік беретін және ыңғайлы біріктірілген көрнекті стильді ұсынады.
Nike P-6000 вдохновляется моделью Nike Air Pegasus 2006 года, предлагая вам смесь культового стиля, которая обеспечивает воздухопроницаемость, комфорт и вызывает ассоциации с атмосферой начала 2000-х.</t>
  </si>
  <si>
    <t>silver</t>
  </si>
  <si>
    <t>100094_1 100094_2 100094_3 100094_4 100094_5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</si>
</sst>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;[Red]\-0.0\ "/>
    <numFmt numFmtId="165" formatCode="0.0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109"/>
  <sheetViews>
    <sheetView tabSelected="1" topLeftCell="D97" workbookViewId="0">
      <selection activeCell="K95" sqref="K95:K109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7" width="7.4609375" style="2" customWidth="1"/>
    <col min="8" max="8" width="6.61328125" style="2" bestFit="1" customWidth="1"/>
    <col min="9" max="9" width="6.84375" style="2" bestFit="1" customWidth="1"/>
    <col min="10" max="10" width="4.765625" style="2" customWidth="1"/>
    <col min="11" max="11" width="7.15234375" style="2" bestFit="1" customWidth="1"/>
    <col min="12" max="12" width="48.84375" style="2" customWidth="1"/>
    <col min="13" max="16384" width="9.23046875" style="2"/>
  </cols>
  <sheetData>
    <row r="1" spans="1:14" ht="18.45" customHeight="1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5">
        <f>M2</f>
        <v>71641.315789473694</v>
      </c>
      <c r="J2" s="1"/>
      <c r="K2" s="1" t="s">
        <v>25</v>
      </c>
      <c r="L2" s="1"/>
      <c r="M2" s="4">
        <f t="shared" ref="M2:M7" si="0">(N2*75+N2*75*0.01+15000+4200+5000)/0.95</f>
        <v>71641.315789473694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5">
        <f t="shared" ref="I3:I66" si="1">M3</f>
        <v>71641.315789473694</v>
      </c>
      <c r="J3" s="1"/>
      <c r="K3" s="1" t="s">
        <v>25</v>
      </c>
      <c r="L3" s="1"/>
      <c r="M3" s="4">
        <f t="shared" si="0"/>
        <v>71641.315789473694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5">
        <f t="shared" si="1"/>
        <v>71641.315789473694</v>
      </c>
      <c r="J4" s="1"/>
      <c r="K4" s="1" t="s">
        <v>25</v>
      </c>
      <c r="L4" s="1"/>
      <c r="M4" s="4">
        <f t="shared" si="0"/>
        <v>71641.315789473694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5">
        <f t="shared" si="1"/>
        <v>71641.315789473694</v>
      </c>
      <c r="J5" s="1"/>
      <c r="K5" s="1" t="s">
        <v>25</v>
      </c>
      <c r="L5" s="1"/>
      <c r="M5" s="4">
        <f t="shared" si="0"/>
        <v>71641.315789473694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5">
        <f t="shared" si="1"/>
        <v>71641.315789473694</v>
      </c>
      <c r="J6" s="1"/>
      <c r="K6" s="1" t="s">
        <v>25</v>
      </c>
      <c r="L6" s="1"/>
      <c r="M6" s="4">
        <f t="shared" si="0"/>
        <v>71641.315789473694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5">
        <f t="shared" si="1"/>
        <v>71641.315789473694</v>
      </c>
      <c r="J7" s="1"/>
      <c r="K7" s="1" t="s">
        <v>25</v>
      </c>
      <c r="L7" s="1"/>
      <c r="M7" s="4">
        <f t="shared" si="0"/>
        <v>71641.315789473694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5">
        <f t="shared" si="1"/>
        <v>71641.315789473694</v>
      </c>
      <c r="J8" s="1"/>
      <c r="K8" s="1" t="s">
        <v>25</v>
      </c>
      <c r="L8" s="1"/>
      <c r="M8" s="4">
        <f>(N8*75+N8*75*0.01+15000+4200+5000)/0.95</f>
        <v>71641.315789473694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5">
        <f t="shared" si="1"/>
        <v>71641.315789473694</v>
      </c>
      <c r="J9" s="1"/>
      <c r="K9" s="1" t="s">
        <v>25</v>
      </c>
      <c r="L9" s="1"/>
      <c r="M9" s="4">
        <f t="shared" ref="M9:M72" si="2">(N9*75+N9*75*0.01+15000+4200+5000)/0.95</f>
        <v>71641.315789473694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5">
        <f t="shared" si="1"/>
        <v>71641.315789473694</v>
      </c>
      <c r="J10" s="1"/>
      <c r="K10" s="1" t="s">
        <v>25</v>
      </c>
      <c r="L10" s="1"/>
      <c r="M10" s="4">
        <f t="shared" si="2"/>
        <v>71641.315789473694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5">
        <f t="shared" si="1"/>
        <v>71641.315789473694</v>
      </c>
      <c r="J11" s="1"/>
      <c r="K11" s="1" t="s">
        <v>25</v>
      </c>
      <c r="L11" s="1"/>
      <c r="M11" s="4">
        <f t="shared" si="2"/>
        <v>71641.315789473694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5">
        <f t="shared" si="1"/>
        <v>71641.315789473694</v>
      </c>
      <c r="J12" s="1"/>
      <c r="K12" s="1" t="s">
        <v>25</v>
      </c>
      <c r="L12" s="1"/>
      <c r="M12" s="4">
        <f t="shared" si="2"/>
        <v>71641.315789473694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5">
        <f t="shared" si="1"/>
        <v>71641.315789473694</v>
      </c>
      <c r="J13" s="1"/>
      <c r="K13" s="1" t="s">
        <v>25</v>
      </c>
      <c r="L13" s="1"/>
      <c r="M13" s="4">
        <f t="shared" si="2"/>
        <v>71641.315789473694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5">
        <f t="shared" si="1"/>
        <v>71641.315789473694</v>
      </c>
      <c r="J14" s="1"/>
      <c r="K14" s="1" t="s">
        <v>25</v>
      </c>
      <c r="L14" s="1"/>
      <c r="M14" s="4">
        <f t="shared" si="2"/>
        <v>71641.315789473694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5">
        <f t="shared" si="1"/>
        <v>71641.315789473694</v>
      </c>
      <c r="J15" s="1"/>
      <c r="K15" s="1" t="s">
        <v>25</v>
      </c>
      <c r="L15" s="1"/>
      <c r="M15" s="4">
        <f t="shared" si="2"/>
        <v>71641.315789473694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5">
        <f t="shared" si="1"/>
        <v>71641.315789473694</v>
      </c>
      <c r="J16" s="1"/>
      <c r="K16" s="1" t="s">
        <v>25</v>
      </c>
      <c r="L16" s="1"/>
      <c r="M16" s="4">
        <f t="shared" si="2"/>
        <v>71641.315789473694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5">
        <f t="shared" si="1"/>
        <v>71641.315789473694</v>
      </c>
      <c r="J17" s="1"/>
      <c r="K17" s="1" t="s">
        <v>25</v>
      </c>
      <c r="L17" s="1"/>
      <c r="M17" s="4">
        <f t="shared" si="2"/>
        <v>71641.315789473694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5">
        <f t="shared" si="1"/>
        <v>71641.315789473694</v>
      </c>
      <c r="J18" s="1"/>
      <c r="K18" s="1" t="s">
        <v>25</v>
      </c>
      <c r="L18" s="1"/>
      <c r="M18" s="4">
        <f t="shared" si="2"/>
        <v>71641.315789473694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5">
        <f t="shared" si="1"/>
        <v>71641.315789473694</v>
      </c>
      <c r="J19" s="1"/>
      <c r="K19" s="1" t="s">
        <v>25</v>
      </c>
      <c r="L19" s="1"/>
      <c r="M19" s="4">
        <f t="shared" si="2"/>
        <v>71641.315789473694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5">
        <f t="shared" si="1"/>
        <v>71641.315789473694</v>
      </c>
      <c r="J20" s="1"/>
      <c r="K20" s="1" t="s">
        <v>25</v>
      </c>
      <c r="L20" s="1"/>
      <c r="M20" s="4">
        <f t="shared" si="2"/>
        <v>71641.315789473694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5">
        <f t="shared" si="1"/>
        <v>71641.315789473694</v>
      </c>
      <c r="J21" s="1"/>
      <c r="K21" s="1" t="s">
        <v>25</v>
      </c>
      <c r="L21" s="1"/>
      <c r="M21" s="4">
        <f t="shared" si="2"/>
        <v>71641.315789473694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5">
        <f t="shared" si="1"/>
        <v>71641.315789473694</v>
      </c>
      <c r="J22" s="1"/>
      <c r="K22" s="1" t="s">
        <v>25</v>
      </c>
      <c r="L22" s="1"/>
      <c r="M22" s="4">
        <f t="shared" si="2"/>
        <v>71641.315789473694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5">
        <f t="shared" si="1"/>
        <v>71641.315789473694</v>
      </c>
      <c r="J23" s="1"/>
      <c r="K23" s="1" t="s">
        <v>25</v>
      </c>
      <c r="L23" s="1"/>
      <c r="M23" s="4">
        <f t="shared" si="2"/>
        <v>71641.315789473694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5">
        <f t="shared" si="1"/>
        <v>71641.315789473694</v>
      </c>
      <c r="J24" s="1"/>
      <c r="K24" s="1" t="s">
        <v>25</v>
      </c>
      <c r="L24" s="1"/>
      <c r="M24" s="4">
        <f t="shared" si="2"/>
        <v>71641.315789473694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5">
        <f t="shared" si="1"/>
        <v>71641.315789473694</v>
      </c>
      <c r="J25" s="1"/>
      <c r="K25" s="1" t="s">
        <v>25</v>
      </c>
      <c r="L25" s="1"/>
      <c r="M25" s="4">
        <f t="shared" si="2"/>
        <v>71641.315789473694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5">
        <f t="shared" si="1"/>
        <v>71641.315789473694</v>
      </c>
      <c r="J26" s="1"/>
      <c r="K26" s="1" t="s">
        <v>25</v>
      </c>
      <c r="L26" s="1"/>
      <c r="M26" s="4">
        <f t="shared" si="2"/>
        <v>71641.315789473694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5">
        <f t="shared" si="1"/>
        <v>71641.315789473694</v>
      </c>
      <c r="J27" s="1"/>
      <c r="K27" s="1" t="s">
        <v>25</v>
      </c>
      <c r="L27" s="1"/>
      <c r="M27" s="4">
        <f t="shared" si="2"/>
        <v>71641.315789473694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5">
        <f t="shared" si="1"/>
        <v>71641.315789473694</v>
      </c>
      <c r="J28" s="1"/>
      <c r="K28" s="1" t="s">
        <v>25</v>
      </c>
      <c r="L28" s="1"/>
      <c r="M28" s="4">
        <f t="shared" si="2"/>
        <v>71641.315789473694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5">
        <f t="shared" si="1"/>
        <v>71641.315789473694</v>
      </c>
      <c r="J29" s="1"/>
      <c r="K29" s="1" t="s">
        <v>25</v>
      </c>
      <c r="L29" s="1"/>
      <c r="M29" s="4">
        <f t="shared" si="2"/>
        <v>71641.315789473694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5">
        <f t="shared" si="1"/>
        <v>71641.315789473694</v>
      </c>
      <c r="J30" s="1"/>
      <c r="K30" s="1" t="s">
        <v>25</v>
      </c>
      <c r="L30" s="1"/>
      <c r="M30" s="4">
        <f t="shared" si="2"/>
        <v>71641.315789473694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5">
        <f t="shared" si="1"/>
        <v>71641.315789473694</v>
      </c>
      <c r="J31" s="1"/>
      <c r="K31" s="1" t="s">
        <v>25</v>
      </c>
      <c r="L31" s="1"/>
      <c r="M31" s="4">
        <f t="shared" si="2"/>
        <v>71641.315789473694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5">
        <f t="shared" si="1"/>
        <v>81209.736842105267</v>
      </c>
      <c r="J32" s="1"/>
      <c r="K32" s="1" t="s">
        <v>32</v>
      </c>
      <c r="L32" s="1"/>
      <c r="M32" s="4">
        <f t="shared" si="2"/>
        <v>81209.736842105267</v>
      </c>
      <c r="N32" s="2">
        <v>699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5">
        <f t="shared" si="1"/>
        <v>81209.736842105267</v>
      </c>
      <c r="J33" s="1"/>
      <c r="K33" s="1" t="s">
        <v>25</v>
      </c>
      <c r="L33" s="1"/>
      <c r="M33" s="4">
        <f t="shared" si="2"/>
        <v>81209.736842105267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5">
        <f t="shared" si="1"/>
        <v>73236.052631578947</v>
      </c>
      <c r="J34" s="1"/>
      <c r="K34" s="1" t="s">
        <v>25</v>
      </c>
      <c r="L34" s="1"/>
      <c r="M34" s="4">
        <f t="shared" si="2"/>
        <v>73236.052631578947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5">
        <f t="shared" si="1"/>
        <v>25473.684210526317</v>
      </c>
      <c r="J35" s="1"/>
      <c r="K35" s="1" t="s">
        <v>32</v>
      </c>
      <c r="L35" s="1"/>
      <c r="M35" s="4">
        <f t="shared" si="2"/>
        <v>25473.684210526317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5">
        <f t="shared" si="1"/>
        <v>73236.052631578947</v>
      </c>
      <c r="J36" s="1"/>
      <c r="K36" s="1" t="s">
        <v>25</v>
      </c>
      <c r="L36" s="1"/>
      <c r="M36" s="4">
        <f t="shared" si="2"/>
        <v>73236.052631578947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5">
        <f t="shared" si="1"/>
        <v>64465</v>
      </c>
      <c r="J37" s="1"/>
      <c r="K37" s="1" t="s">
        <v>25</v>
      </c>
      <c r="L37" s="1"/>
      <c r="M37" s="4">
        <f t="shared" si="2"/>
        <v>64465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5">
        <f t="shared" si="1"/>
        <v>58086.052631578947</v>
      </c>
      <c r="J38" s="1"/>
      <c r="K38" s="1" t="s">
        <v>25</v>
      </c>
      <c r="L38" s="1"/>
      <c r="M38" s="4">
        <f t="shared" si="2"/>
        <v>58086.052631578947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5">
        <f t="shared" si="1"/>
        <v>63667.631578947374</v>
      </c>
      <c r="J39" s="1"/>
      <c r="K39" s="1" t="s">
        <v>25</v>
      </c>
      <c r="L39" s="1"/>
      <c r="M39" s="4">
        <f t="shared" si="2"/>
        <v>63667.631578947374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5">
        <f t="shared" si="1"/>
        <v>65262.368421052633</v>
      </c>
      <c r="J40" s="1"/>
      <c r="K40" s="1" t="s">
        <v>25</v>
      </c>
      <c r="L40" s="1"/>
      <c r="M40" s="4">
        <f t="shared" si="2"/>
        <v>65262.368421052633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5">
        <f t="shared" si="1"/>
        <v>151457.89473684211</v>
      </c>
      <c r="J41" s="1"/>
      <c r="K41" s="1" t="s">
        <v>25</v>
      </c>
      <c r="L41" s="1"/>
      <c r="M41" s="4">
        <f t="shared" si="2"/>
        <v>151457.89473684211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5">
        <f t="shared" si="1"/>
        <v>144520.78947368421</v>
      </c>
      <c r="J42" s="1"/>
      <c r="K42" s="1" t="s">
        <v>25</v>
      </c>
      <c r="L42" s="1"/>
      <c r="M42" s="4">
        <f t="shared" si="2"/>
        <v>144520.78947368421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5">
        <f t="shared" si="1"/>
        <v>77541.84210526316</v>
      </c>
      <c r="J43" s="1"/>
      <c r="K43" s="1" t="s">
        <v>25</v>
      </c>
      <c r="L43" s="1"/>
      <c r="M43" s="4">
        <f t="shared" si="2"/>
        <v>77541.84210526316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5">
        <f t="shared" si="1"/>
        <v>73236.052631578947</v>
      </c>
      <c r="J44" s="1"/>
      <c r="K44" s="1" t="s">
        <v>25</v>
      </c>
      <c r="L44" s="1"/>
      <c r="M44" s="4">
        <f t="shared" si="2"/>
        <v>73236.052631578947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5">
        <f t="shared" si="1"/>
        <v>94924.473684210534</v>
      </c>
      <c r="J45" s="1"/>
      <c r="K45" s="1" t="s">
        <v>25</v>
      </c>
      <c r="L45" s="1"/>
      <c r="M45" s="4">
        <f t="shared" si="2"/>
        <v>94924.473684210534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5">
        <f t="shared" si="1"/>
        <v>81050.263157894748</v>
      </c>
      <c r="J46" s="1"/>
      <c r="K46" s="1" t="s">
        <v>25</v>
      </c>
      <c r="L46" s="1"/>
      <c r="M46" s="4">
        <f t="shared" si="2"/>
        <v>81050.263157894748</v>
      </c>
      <c r="N46" s="2">
        <v>697</v>
      </c>
    </row>
    <row r="47" spans="1:14" x14ac:dyDescent="0.4">
      <c r="A47" s="1">
        <v>100046</v>
      </c>
      <c r="B47" s="1"/>
      <c r="C47" s="1" t="s">
        <v>60</v>
      </c>
      <c r="D47" s="1" t="s">
        <v>38</v>
      </c>
      <c r="E47" s="1" t="s">
        <v>30</v>
      </c>
      <c r="F47" s="1" t="s">
        <v>61</v>
      </c>
      <c r="I47" s="5">
        <f t="shared" si="1"/>
        <v>88386.052631578947</v>
      </c>
      <c r="J47" s="1"/>
      <c r="K47" s="1" t="s">
        <v>25</v>
      </c>
      <c r="L47" s="1"/>
      <c r="M47" s="4">
        <f t="shared" si="2"/>
        <v>88386.052631578947</v>
      </c>
      <c r="N47" s="2">
        <v>789</v>
      </c>
    </row>
    <row r="48" spans="1:14" x14ac:dyDescent="0.4">
      <c r="A48" s="1">
        <v>100047</v>
      </c>
      <c r="B48" s="1"/>
      <c r="C48" s="1"/>
      <c r="D48" s="1"/>
      <c r="E48" s="1"/>
      <c r="F48" s="1"/>
      <c r="I48" s="5">
        <f t="shared" si="1"/>
        <v>129051.84210526316</v>
      </c>
      <c r="J48" s="1"/>
      <c r="K48" s="1" t="s">
        <v>25</v>
      </c>
      <c r="L48" s="1"/>
      <c r="M48" s="4">
        <f t="shared" si="2"/>
        <v>129051.84210526316</v>
      </c>
      <c r="N48" s="2">
        <v>1299</v>
      </c>
    </row>
    <row r="49" spans="1:14" x14ac:dyDescent="0.4">
      <c r="A49" s="1">
        <v>100048</v>
      </c>
      <c r="B49" s="1"/>
      <c r="C49" s="1"/>
      <c r="D49" s="1"/>
      <c r="E49" s="1"/>
      <c r="F49" s="1"/>
      <c r="I49" s="5">
        <f t="shared" si="1"/>
        <v>107522.89473684211</v>
      </c>
      <c r="J49" s="1"/>
      <c r="K49" s="1" t="s">
        <v>25</v>
      </c>
      <c r="L49" s="1"/>
      <c r="M49" s="4">
        <f t="shared" si="2"/>
        <v>107522.89473684211</v>
      </c>
      <c r="N49" s="2">
        <v>1029</v>
      </c>
    </row>
    <row r="50" spans="1:14" x14ac:dyDescent="0.4">
      <c r="A50" s="1">
        <v>100049</v>
      </c>
      <c r="B50" s="1"/>
      <c r="C50" s="1"/>
      <c r="D50" s="1"/>
      <c r="E50" s="1"/>
      <c r="F50" s="1"/>
      <c r="I50" s="5">
        <f t="shared" si="1"/>
        <v>97157.105263157893</v>
      </c>
      <c r="J50" s="1"/>
      <c r="K50" s="1" t="s">
        <v>25</v>
      </c>
      <c r="L50" s="1"/>
      <c r="M50" s="4">
        <f t="shared" si="2"/>
        <v>97157.105263157893</v>
      </c>
      <c r="N50" s="2">
        <v>899</v>
      </c>
    </row>
    <row r="51" spans="1:14" x14ac:dyDescent="0.4">
      <c r="A51" s="1">
        <v>100050</v>
      </c>
      <c r="B51" s="1"/>
      <c r="C51" s="1"/>
      <c r="D51" s="1"/>
      <c r="E51" s="1"/>
      <c r="F51" s="1"/>
      <c r="I51" s="5">
        <f t="shared" si="1"/>
        <v>96359.736842105267</v>
      </c>
      <c r="J51" s="1"/>
      <c r="K51" s="1" t="s">
        <v>25</v>
      </c>
      <c r="L51" s="1"/>
      <c r="M51" s="4">
        <f t="shared" si="2"/>
        <v>96359.736842105267</v>
      </c>
      <c r="N51" s="2">
        <v>889</v>
      </c>
    </row>
    <row r="52" spans="1:14" x14ac:dyDescent="0.4">
      <c r="A52" s="1">
        <v>100051</v>
      </c>
      <c r="B52" s="1"/>
      <c r="C52" s="1"/>
      <c r="D52" s="1"/>
      <c r="E52" s="1"/>
      <c r="F52" s="1"/>
      <c r="I52" s="5">
        <f t="shared" si="1"/>
        <v>84399.210526315786</v>
      </c>
      <c r="J52" s="1"/>
      <c r="K52" s="1" t="s">
        <v>25</v>
      </c>
      <c r="L52" s="1"/>
      <c r="M52" s="4">
        <f t="shared" si="2"/>
        <v>84399.210526315786</v>
      </c>
      <c r="N52" s="2">
        <v>739</v>
      </c>
    </row>
    <row r="53" spans="1:14" x14ac:dyDescent="0.4">
      <c r="A53" s="1">
        <v>100052</v>
      </c>
      <c r="B53" s="1"/>
      <c r="C53" s="1"/>
      <c r="D53" s="1"/>
      <c r="E53" s="1"/>
      <c r="F53" s="1"/>
      <c r="I53" s="5">
        <f t="shared" si="1"/>
        <v>75628.15789473684</v>
      </c>
      <c r="J53" s="1"/>
      <c r="K53" s="1" t="s">
        <v>25</v>
      </c>
      <c r="L53" s="1"/>
      <c r="M53" s="4">
        <f t="shared" si="2"/>
        <v>75628.15789473684</v>
      </c>
      <c r="N53" s="2">
        <v>629</v>
      </c>
    </row>
    <row r="54" spans="1:14" x14ac:dyDescent="0.4">
      <c r="A54" s="1">
        <v>100053</v>
      </c>
      <c r="B54" s="1"/>
      <c r="C54" s="1"/>
      <c r="D54" s="1"/>
      <c r="E54" s="1"/>
      <c r="F54" s="1"/>
      <c r="I54" s="5">
        <f t="shared" si="1"/>
        <v>74830.789473684214</v>
      </c>
      <c r="J54" s="1"/>
      <c r="K54" s="1" t="s">
        <v>25</v>
      </c>
      <c r="L54" s="1"/>
      <c r="M54" s="4">
        <f t="shared" si="2"/>
        <v>74830.789473684214</v>
      </c>
      <c r="N54" s="2">
        <v>619</v>
      </c>
    </row>
    <row r="55" spans="1:14" x14ac:dyDescent="0.4">
      <c r="A55" s="1">
        <v>100054</v>
      </c>
      <c r="B55" s="1"/>
      <c r="C55" s="1"/>
      <c r="D55" s="1"/>
      <c r="E55" s="1"/>
      <c r="F55" s="1"/>
      <c r="I55" s="5">
        <f t="shared" si="1"/>
        <v>74830.789473684214</v>
      </c>
      <c r="J55" s="1"/>
      <c r="K55" s="1" t="s">
        <v>25</v>
      </c>
      <c r="L55" s="1"/>
      <c r="M55" s="4">
        <f t="shared" si="2"/>
        <v>74830.789473684214</v>
      </c>
      <c r="N55" s="2">
        <v>619</v>
      </c>
    </row>
    <row r="56" spans="1:14" x14ac:dyDescent="0.4">
      <c r="A56" s="1">
        <v>100055</v>
      </c>
      <c r="B56" s="1"/>
      <c r="C56" s="1"/>
      <c r="D56" s="1"/>
      <c r="E56" s="1"/>
      <c r="F56" s="1"/>
      <c r="I56" s="5">
        <f t="shared" si="1"/>
        <v>74830.789473684214</v>
      </c>
      <c r="J56" s="1"/>
      <c r="K56" s="1" t="s">
        <v>25</v>
      </c>
      <c r="L56" s="1"/>
      <c r="M56" s="4">
        <f t="shared" si="2"/>
        <v>74830.789473684214</v>
      </c>
      <c r="N56" s="2">
        <v>619</v>
      </c>
    </row>
    <row r="57" spans="1:14" x14ac:dyDescent="0.4">
      <c r="A57" s="1">
        <v>100056</v>
      </c>
      <c r="B57" s="1"/>
      <c r="C57" s="1"/>
      <c r="D57" s="1"/>
      <c r="E57" s="1"/>
      <c r="F57" s="1"/>
      <c r="I57" s="5">
        <f t="shared" si="1"/>
        <v>74033.421052631587</v>
      </c>
      <c r="J57" s="1"/>
      <c r="K57" s="1" t="s">
        <v>25</v>
      </c>
      <c r="L57" s="1"/>
      <c r="M57" s="4">
        <f t="shared" si="2"/>
        <v>74033.421052631587</v>
      </c>
      <c r="N57" s="2">
        <v>609</v>
      </c>
    </row>
    <row r="58" spans="1:14" x14ac:dyDescent="0.4">
      <c r="A58" s="1">
        <v>100057</v>
      </c>
      <c r="B58" s="1"/>
      <c r="C58" s="1"/>
      <c r="D58" s="1"/>
      <c r="E58" s="1"/>
      <c r="F58" s="1"/>
      <c r="I58" s="5">
        <f t="shared" si="1"/>
        <v>74830.789473684214</v>
      </c>
      <c r="J58" s="1"/>
      <c r="K58" s="1" t="s">
        <v>25</v>
      </c>
      <c r="L58" s="1"/>
      <c r="M58" s="4">
        <f t="shared" si="2"/>
        <v>74830.789473684214</v>
      </c>
      <c r="N58" s="2">
        <v>619</v>
      </c>
    </row>
    <row r="59" spans="1:14" x14ac:dyDescent="0.4">
      <c r="A59" s="1">
        <v>100058</v>
      </c>
      <c r="B59" s="1"/>
      <c r="C59" s="1"/>
      <c r="D59" s="1"/>
      <c r="E59" s="1"/>
      <c r="F59" s="1"/>
      <c r="I59" s="5">
        <f t="shared" si="1"/>
        <v>77222.894736842107</v>
      </c>
      <c r="J59" s="1"/>
      <c r="K59" s="1" t="s">
        <v>25</v>
      </c>
      <c r="L59" s="1"/>
      <c r="M59" s="4">
        <f t="shared" si="2"/>
        <v>77222.894736842107</v>
      </c>
      <c r="N59" s="2">
        <v>649</v>
      </c>
    </row>
    <row r="60" spans="1:14" x14ac:dyDescent="0.4">
      <c r="A60" s="1">
        <v>100059</v>
      </c>
      <c r="B60" s="1"/>
      <c r="C60" s="1"/>
      <c r="D60" s="1"/>
      <c r="E60" s="1"/>
      <c r="F60" s="1"/>
      <c r="I60" s="5">
        <f t="shared" si="1"/>
        <v>77222.894736842107</v>
      </c>
      <c r="J60" s="1"/>
      <c r="K60" s="1" t="s">
        <v>25</v>
      </c>
      <c r="L60" s="1"/>
      <c r="M60" s="4">
        <f t="shared" si="2"/>
        <v>77222.894736842107</v>
      </c>
      <c r="N60" s="2">
        <v>649</v>
      </c>
    </row>
    <row r="61" spans="1:14" x14ac:dyDescent="0.4">
      <c r="A61" s="1">
        <v>100060</v>
      </c>
      <c r="B61" s="1"/>
      <c r="C61" s="1"/>
      <c r="D61" s="1"/>
      <c r="E61" s="1"/>
      <c r="F61" s="1"/>
      <c r="I61" s="5">
        <f t="shared" si="1"/>
        <v>81209.736842105267</v>
      </c>
      <c r="J61" s="1"/>
      <c r="K61" s="1" t="s">
        <v>25</v>
      </c>
      <c r="L61" s="1"/>
      <c r="M61" s="4">
        <f t="shared" si="2"/>
        <v>81209.736842105267</v>
      </c>
      <c r="N61" s="2">
        <v>699</v>
      </c>
    </row>
    <row r="62" spans="1:14" ht="72.900000000000006" x14ac:dyDescent="0.4">
      <c r="A62" s="1">
        <v>100061</v>
      </c>
      <c r="B62" s="1"/>
      <c r="C62" s="1" t="s">
        <v>64</v>
      </c>
      <c r="D62" s="1" t="s">
        <v>57</v>
      </c>
      <c r="E62" s="1" t="s">
        <v>62</v>
      </c>
      <c r="F62" s="1" t="s">
        <v>63</v>
      </c>
      <c r="G62" s="1">
        <v>5</v>
      </c>
      <c r="H62" s="1">
        <v>35.5</v>
      </c>
      <c r="I62" s="5">
        <f t="shared" si="1"/>
        <v>47640.526315789473</v>
      </c>
      <c r="J62" s="1"/>
      <c r="K62" s="1" t="s">
        <v>25</v>
      </c>
      <c r="L62" s="8" t="s">
        <v>66</v>
      </c>
      <c r="M62" s="4">
        <f t="shared" si="2"/>
        <v>47640.526315789473</v>
      </c>
      <c r="N62" s="2">
        <v>278</v>
      </c>
    </row>
    <row r="63" spans="1:14" x14ac:dyDescent="0.4">
      <c r="A63" s="1">
        <v>100062</v>
      </c>
      <c r="B63" s="1"/>
      <c r="C63" s="1"/>
      <c r="D63" s="1"/>
      <c r="E63" s="1"/>
      <c r="F63" s="1"/>
      <c r="G63" s="1">
        <v>5.5</v>
      </c>
      <c r="H63" s="1">
        <v>36</v>
      </c>
      <c r="I63" s="5">
        <f t="shared" si="1"/>
        <v>44849.736842105267</v>
      </c>
      <c r="J63" s="1"/>
      <c r="K63" s="1" t="s">
        <v>25</v>
      </c>
      <c r="L63" s="1"/>
      <c r="M63" s="4">
        <f t="shared" si="2"/>
        <v>44849.736842105267</v>
      </c>
      <c r="N63" s="2">
        <v>243</v>
      </c>
    </row>
    <row r="64" spans="1:14" x14ac:dyDescent="0.4">
      <c r="A64" s="1">
        <v>100063</v>
      </c>
      <c r="B64" s="1"/>
      <c r="C64" s="1"/>
      <c r="D64" s="1"/>
      <c r="E64" s="1"/>
      <c r="F64" s="1"/>
      <c r="G64" s="1">
        <v>6</v>
      </c>
      <c r="H64" s="1">
        <v>36.5</v>
      </c>
      <c r="I64" s="5">
        <f t="shared" si="1"/>
        <v>47321.57894736842</v>
      </c>
      <c r="J64" s="1"/>
      <c r="K64" s="1" t="s">
        <v>25</v>
      </c>
      <c r="L64" s="1"/>
      <c r="M64" s="4">
        <f t="shared" si="2"/>
        <v>47321.57894736842</v>
      </c>
      <c r="N64" s="2">
        <v>274</v>
      </c>
    </row>
    <row r="65" spans="1:14" x14ac:dyDescent="0.4">
      <c r="A65" s="1">
        <v>100064</v>
      </c>
      <c r="B65" s="1"/>
      <c r="C65" s="1"/>
      <c r="D65" s="1"/>
      <c r="E65" s="1"/>
      <c r="F65" s="1"/>
      <c r="G65" s="1">
        <v>6.5</v>
      </c>
      <c r="H65" s="1">
        <v>37.5</v>
      </c>
      <c r="I65" s="5">
        <f t="shared" si="1"/>
        <v>47082.368421052633</v>
      </c>
      <c r="J65" s="1"/>
      <c r="K65" s="1" t="s">
        <v>25</v>
      </c>
      <c r="L65" s="1"/>
      <c r="M65" s="4">
        <f t="shared" si="2"/>
        <v>47082.368421052633</v>
      </c>
      <c r="N65" s="2">
        <v>271</v>
      </c>
    </row>
    <row r="66" spans="1:14" x14ac:dyDescent="0.4">
      <c r="A66" s="1">
        <v>100065</v>
      </c>
      <c r="B66" s="1"/>
      <c r="C66" s="1"/>
      <c r="D66" s="1"/>
      <c r="E66" s="1"/>
      <c r="F66" s="1"/>
      <c r="G66" s="1">
        <v>7</v>
      </c>
      <c r="H66" s="1">
        <v>38</v>
      </c>
      <c r="I66" s="5">
        <f t="shared" si="1"/>
        <v>53222.1052631579</v>
      </c>
      <c r="J66" s="1"/>
      <c r="K66" s="1" t="s">
        <v>25</v>
      </c>
      <c r="L66" s="1"/>
      <c r="M66" s="4">
        <f t="shared" si="2"/>
        <v>53222.1052631579</v>
      </c>
      <c r="N66" s="2">
        <v>348</v>
      </c>
    </row>
    <row r="67" spans="1:14" x14ac:dyDescent="0.4">
      <c r="A67" s="1">
        <v>100066</v>
      </c>
      <c r="B67" s="1"/>
      <c r="C67" s="1"/>
      <c r="D67" s="1"/>
      <c r="E67" s="1"/>
      <c r="F67" s="1"/>
      <c r="G67" s="1">
        <v>7.5</v>
      </c>
      <c r="H67" s="1">
        <v>38.5</v>
      </c>
      <c r="I67" s="5">
        <f t="shared" ref="I67:I109" si="3">M67</f>
        <v>62870.26315789474</v>
      </c>
      <c r="J67" s="1"/>
      <c r="K67" s="1" t="s">
        <v>25</v>
      </c>
      <c r="L67" s="1"/>
      <c r="M67" s="4">
        <f t="shared" si="2"/>
        <v>62870.26315789474</v>
      </c>
      <c r="N67" s="2">
        <v>469</v>
      </c>
    </row>
    <row r="68" spans="1:14" x14ac:dyDescent="0.4">
      <c r="A68" s="1">
        <v>100067</v>
      </c>
      <c r="B68" s="1"/>
      <c r="C68" s="1"/>
      <c r="D68" s="1"/>
      <c r="E68" s="1"/>
      <c r="F68" s="1"/>
      <c r="G68" s="1">
        <v>8</v>
      </c>
      <c r="H68" s="1">
        <v>39</v>
      </c>
      <c r="I68" s="5">
        <f t="shared" si="3"/>
        <v>73236.052631578947</v>
      </c>
      <c r="J68" s="1"/>
      <c r="K68" s="1" t="s">
        <v>25</v>
      </c>
      <c r="L68" s="1"/>
      <c r="M68" s="4">
        <f t="shared" si="2"/>
        <v>73236.052631578947</v>
      </c>
      <c r="N68" s="2">
        <v>599</v>
      </c>
    </row>
    <row r="69" spans="1:14" x14ac:dyDescent="0.4">
      <c r="A69" s="1">
        <v>100068</v>
      </c>
      <c r="B69" s="1"/>
      <c r="C69" s="1"/>
      <c r="D69" s="1"/>
      <c r="E69" s="1"/>
      <c r="F69" s="1"/>
      <c r="G69" s="1">
        <v>8.5</v>
      </c>
      <c r="H69" s="1">
        <v>40</v>
      </c>
      <c r="I69" s="5">
        <f t="shared" si="3"/>
        <v>83601.84210526316</v>
      </c>
      <c r="J69" s="1"/>
      <c r="K69" s="1" t="s">
        <v>32</v>
      </c>
      <c r="L69" s="1"/>
      <c r="M69" s="4">
        <f t="shared" si="2"/>
        <v>83601.84210526316</v>
      </c>
      <c r="N69" s="2">
        <v>729</v>
      </c>
    </row>
    <row r="70" spans="1:14" x14ac:dyDescent="0.4">
      <c r="A70" s="1">
        <v>100069</v>
      </c>
      <c r="B70" s="1"/>
      <c r="C70" s="1"/>
      <c r="D70" s="1"/>
      <c r="E70" s="1"/>
      <c r="F70" s="1"/>
      <c r="G70" s="1">
        <v>9</v>
      </c>
      <c r="H70" s="1">
        <v>40.5</v>
      </c>
      <c r="I70" s="5">
        <f t="shared" si="3"/>
        <v>94924.473684210534</v>
      </c>
      <c r="J70" s="1"/>
      <c r="K70" s="1" t="s">
        <v>32</v>
      </c>
      <c r="L70" s="1"/>
      <c r="M70" s="4">
        <f t="shared" si="2"/>
        <v>94924.473684210534</v>
      </c>
      <c r="N70" s="2">
        <v>871</v>
      </c>
    </row>
    <row r="71" spans="1:14" x14ac:dyDescent="0.4">
      <c r="A71" s="1">
        <v>100070</v>
      </c>
      <c r="B71" s="1"/>
      <c r="C71" s="1"/>
      <c r="D71" s="1"/>
      <c r="E71" s="1" t="s">
        <v>43</v>
      </c>
      <c r="F71" s="1" t="s">
        <v>65</v>
      </c>
      <c r="G71" s="1">
        <v>5</v>
      </c>
      <c r="H71" s="1">
        <v>35.5</v>
      </c>
      <c r="I71" s="5">
        <f t="shared" si="3"/>
        <v>83601.84210526316</v>
      </c>
      <c r="J71" s="1"/>
      <c r="K71" s="1" t="s">
        <v>32</v>
      </c>
      <c r="L71" t="s">
        <v>66</v>
      </c>
      <c r="M71" s="4">
        <f t="shared" si="2"/>
        <v>83601.84210526316</v>
      </c>
      <c r="N71" s="2">
        <v>729</v>
      </c>
    </row>
    <row r="72" spans="1:14" x14ac:dyDescent="0.4">
      <c r="A72" s="1">
        <v>100071</v>
      </c>
      <c r="B72" s="1"/>
      <c r="C72" s="1"/>
      <c r="D72" s="1"/>
      <c r="E72" s="1"/>
      <c r="F72" s="1"/>
      <c r="G72" s="1">
        <v>5.5</v>
      </c>
      <c r="H72" s="1">
        <v>36</v>
      </c>
      <c r="I72" s="5">
        <f t="shared" si="3"/>
        <v>72438.68421052632</v>
      </c>
      <c r="J72" s="1"/>
      <c r="K72" s="1" t="s">
        <v>32</v>
      </c>
      <c r="L72" s="1"/>
      <c r="M72" s="4">
        <f t="shared" si="2"/>
        <v>72438.68421052632</v>
      </c>
      <c r="N72" s="2">
        <v>589</v>
      </c>
    </row>
    <row r="73" spans="1:14" x14ac:dyDescent="0.4">
      <c r="A73" s="1">
        <v>100072</v>
      </c>
      <c r="B73" s="1"/>
      <c r="C73" s="1"/>
      <c r="D73" s="1"/>
      <c r="E73" s="1"/>
      <c r="F73" s="1"/>
      <c r="G73" s="1">
        <v>6</v>
      </c>
      <c r="H73" s="1">
        <v>36.5</v>
      </c>
      <c r="I73" s="5">
        <f t="shared" si="3"/>
        <v>65342.1052631579</v>
      </c>
      <c r="J73" s="1"/>
      <c r="K73" s="1" t="s">
        <v>32</v>
      </c>
      <c r="L73" s="1"/>
      <c r="M73" s="4">
        <f t="shared" ref="M73:M79" si="4">(N73*75+N73*75*0.01+15000+4200+5000)/0.95</f>
        <v>65342.1052631579</v>
      </c>
      <c r="N73" s="2">
        <v>500</v>
      </c>
    </row>
    <row r="74" spans="1:14" x14ac:dyDescent="0.4">
      <c r="A74" s="1">
        <v>100073</v>
      </c>
      <c r="B74" s="1"/>
      <c r="C74" s="1"/>
      <c r="D74" s="1"/>
      <c r="E74" s="1"/>
      <c r="F74" s="1"/>
      <c r="G74" s="1">
        <v>6.5</v>
      </c>
      <c r="H74" s="1">
        <v>37.5</v>
      </c>
      <c r="I74" s="5">
        <f t="shared" si="3"/>
        <v>67096.315789473694</v>
      </c>
      <c r="J74" s="1"/>
      <c r="K74" s="1" t="s">
        <v>32</v>
      </c>
      <c r="L74" s="1"/>
      <c r="M74" s="4">
        <f t="shared" si="4"/>
        <v>67096.315789473694</v>
      </c>
      <c r="N74" s="2">
        <v>522</v>
      </c>
    </row>
    <row r="75" spans="1:14" x14ac:dyDescent="0.4">
      <c r="A75" s="1">
        <v>100074</v>
      </c>
      <c r="B75" s="1"/>
      <c r="C75" s="1"/>
      <c r="D75" s="1"/>
      <c r="E75" s="1"/>
      <c r="F75" s="1"/>
      <c r="G75" s="1">
        <v>7</v>
      </c>
      <c r="H75" s="1">
        <v>38</v>
      </c>
      <c r="I75" s="5">
        <f t="shared" si="3"/>
        <v>65342.1052631579</v>
      </c>
      <c r="J75" s="1"/>
      <c r="K75" s="1" t="s">
        <v>32</v>
      </c>
      <c r="L75" s="1"/>
      <c r="M75" s="4">
        <f t="shared" si="4"/>
        <v>65342.1052631579</v>
      </c>
      <c r="N75" s="2">
        <v>500</v>
      </c>
    </row>
    <row r="76" spans="1:14" x14ac:dyDescent="0.4">
      <c r="A76" s="1">
        <v>100075</v>
      </c>
      <c r="B76" s="1"/>
      <c r="C76" s="1"/>
      <c r="D76" s="1"/>
      <c r="E76" s="1"/>
      <c r="F76" s="1"/>
      <c r="G76" s="1">
        <v>7.5</v>
      </c>
      <c r="H76" s="1">
        <v>38.5</v>
      </c>
      <c r="I76" s="5">
        <f t="shared" si="3"/>
        <v>83681.578947368427</v>
      </c>
      <c r="J76" s="1"/>
      <c r="K76" s="1" t="s">
        <v>32</v>
      </c>
      <c r="L76" s="1"/>
      <c r="M76" s="4">
        <f t="shared" si="4"/>
        <v>83681.578947368427</v>
      </c>
      <c r="N76" s="2">
        <v>730</v>
      </c>
    </row>
    <row r="77" spans="1:14" x14ac:dyDescent="0.4">
      <c r="A77" s="1">
        <v>100076</v>
      </c>
      <c r="B77" s="1"/>
      <c r="C77" s="1"/>
      <c r="D77" s="1"/>
      <c r="E77" s="1"/>
      <c r="F77" s="1"/>
      <c r="G77" s="1">
        <v>8</v>
      </c>
      <c r="H77" s="1">
        <v>39</v>
      </c>
      <c r="I77" s="5">
        <f t="shared" si="3"/>
        <v>83681.578947368427</v>
      </c>
      <c r="J77" s="1"/>
      <c r="K77" s="1" t="s">
        <v>32</v>
      </c>
      <c r="L77" s="1"/>
      <c r="M77" s="4">
        <f t="shared" si="4"/>
        <v>83681.578947368427</v>
      </c>
      <c r="N77" s="2">
        <v>730</v>
      </c>
    </row>
    <row r="78" spans="1:14" x14ac:dyDescent="0.4">
      <c r="A78" s="1">
        <v>100077</v>
      </c>
      <c r="B78" s="1"/>
      <c r="C78" s="1"/>
      <c r="D78" s="1"/>
      <c r="E78" s="1"/>
      <c r="F78" s="1"/>
      <c r="G78" s="1">
        <v>8.5</v>
      </c>
      <c r="H78" s="1">
        <v>40</v>
      </c>
      <c r="I78" s="5">
        <f t="shared" si="3"/>
        <v>83681.578947368427</v>
      </c>
      <c r="J78" s="1"/>
      <c r="K78" s="1" t="s">
        <v>32</v>
      </c>
      <c r="L78" s="1"/>
      <c r="M78" s="4">
        <f t="shared" si="4"/>
        <v>83681.578947368427</v>
      </c>
      <c r="N78" s="2">
        <v>730</v>
      </c>
    </row>
    <row r="79" spans="1:14" x14ac:dyDescent="0.4">
      <c r="A79" s="1">
        <v>100078</v>
      </c>
      <c r="B79" s="1"/>
      <c r="C79" s="1"/>
      <c r="D79" s="1"/>
      <c r="E79" s="1"/>
      <c r="F79" s="1"/>
      <c r="G79" s="1">
        <v>9</v>
      </c>
      <c r="H79" s="1">
        <v>40.5</v>
      </c>
      <c r="I79" s="5">
        <f t="shared" si="3"/>
        <v>83681.578947368427</v>
      </c>
      <c r="J79" s="1"/>
      <c r="K79" s="1" t="s">
        <v>32</v>
      </c>
      <c r="L79" s="1"/>
      <c r="M79" s="4">
        <f t="shared" si="4"/>
        <v>83681.578947368427</v>
      </c>
      <c r="N79" s="2">
        <v>730</v>
      </c>
    </row>
    <row r="80" spans="1:14" ht="145.75" x14ac:dyDescent="0.4">
      <c r="A80" s="1">
        <v>100079</v>
      </c>
      <c r="B80" s="1"/>
      <c r="C80" s="1" t="s">
        <v>67</v>
      </c>
      <c r="D80" s="1"/>
      <c r="E80" s="1" t="s">
        <v>7</v>
      </c>
      <c r="F80" s="1" t="s">
        <v>68</v>
      </c>
      <c r="G80" s="1">
        <v>3.5</v>
      </c>
      <c r="H80" s="1">
        <v>35.5</v>
      </c>
      <c r="I80" s="5">
        <f t="shared" si="3"/>
        <v>64465</v>
      </c>
      <c r="J80" s="1"/>
      <c r="K80" s="1" t="s">
        <v>25</v>
      </c>
      <c r="L80" s="9" t="s">
        <v>69</v>
      </c>
      <c r="M80" s="4">
        <f t="shared" ref="M80:M94" si="5">(N80*75+N80*75*0.01+15000+4200+5000)/0.95</f>
        <v>64465</v>
      </c>
      <c r="N80" s="2">
        <v>489</v>
      </c>
    </row>
    <row r="81" spans="1:14" x14ac:dyDescent="0.4">
      <c r="A81" s="1">
        <v>100080</v>
      </c>
      <c r="B81" s="1"/>
      <c r="C81" s="1"/>
      <c r="D81" s="1"/>
      <c r="E81" s="1"/>
      <c r="F81" s="1"/>
      <c r="G81" s="1">
        <v>4</v>
      </c>
      <c r="H81" s="1">
        <v>36</v>
      </c>
      <c r="I81" s="5">
        <f t="shared" si="3"/>
        <v>68451.84210526316</v>
      </c>
      <c r="J81" s="1"/>
      <c r="K81" s="1" t="s">
        <v>25</v>
      </c>
      <c r="L81" s="1"/>
      <c r="M81" s="4">
        <f t="shared" si="5"/>
        <v>68451.84210526316</v>
      </c>
      <c r="N81" s="2">
        <v>539</v>
      </c>
    </row>
    <row r="82" spans="1:14" x14ac:dyDescent="0.4">
      <c r="A82" s="1">
        <v>100081</v>
      </c>
      <c r="B82" s="1"/>
      <c r="C82" s="1"/>
      <c r="D82" s="1"/>
      <c r="E82" s="1"/>
      <c r="F82" s="1"/>
      <c r="G82" s="1">
        <v>4.5</v>
      </c>
      <c r="H82" s="1">
        <v>36.5</v>
      </c>
      <c r="I82" s="5">
        <f t="shared" si="3"/>
        <v>70046.578947368427</v>
      </c>
      <c r="J82" s="1"/>
      <c r="K82" s="1" t="s">
        <v>25</v>
      </c>
      <c r="L82" s="1"/>
      <c r="M82" s="4">
        <f t="shared" si="5"/>
        <v>70046.578947368427</v>
      </c>
      <c r="N82" s="2">
        <v>559</v>
      </c>
    </row>
    <row r="83" spans="1:14" x14ac:dyDescent="0.4">
      <c r="A83" s="1">
        <v>100082</v>
      </c>
      <c r="B83" s="1"/>
      <c r="C83" s="1"/>
      <c r="D83" s="1"/>
      <c r="E83" s="1"/>
      <c r="F83" s="1"/>
      <c r="G83" s="1">
        <v>5</v>
      </c>
      <c r="H83" s="1">
        <v>37.5</v>
      </c>
      <c r="I83" s="5">
        <f t="shared" si="3"/>
        <v>74033.421052631587</v>
      </c>
      <c r="J83" s="1"/>
      <c r="K83" s="1" t="s">
        <v>25</v>
      </c>
      <c r="L83" s="1"/>
      <c r="M83" s="4">
        <f t="shared" si="5"/>
        <v>74033.421052631587</v>
      </c>
      <c r="N83" s="2">
        <v>609</v>
      </c>
    </row>
    <row r="84" spans="1:14" x14ac:dyDescent="0.4">
      <c r="A84" s="1">
        <v>100083</v>
      </c>
      <c r="B84" s="1"/>
      <c r="C84" s="1"/>
      <c r="D84" s="1"/>
      <c r="E84" s="1"/>
      <c r="F84" s="1"/>
      <c r="G84" s="1">
        <v>5.5</v>
      </c>
      <c r="H84" s="1">
        <v>38</v>
      </c>
      <c r="I84" s="5">
        <f t="shared" si="3"/>
        <v>66857.105263157893</v>
      </c>
      <c r="J84" s="1"/>
      <c r="K84" s="1" t="s">
        <v>25</v>
      </c>
      <c r="L84" s="1"/>
      <c r="M84" s="4">
        <f t="shared" si="5"/>
        <v>66857.105263157893</v>
      </c>
      <c r="N84" s="2">
        <v>519</v>
      </c>
    </row>
    <row r="85" spans="1:14" x14ac:dyDescent="0.4">
      <c r="A85" s="1">
        <v>100084</v>
      </c>
      <c r="B85" s="1"/>
      <c r="C85" s="1"/>
      <c r="D85" s="1"/>
      <c r="E85" s="1"/>
      <c r="F85" s="1"/>
      <c r="G85" s="1">
        <v>6</v>
      </c>
      <c r="H85" s="1">
        <v>38.5</v>
      </c>
      <c r="I85" s="5">
        <f t="shared" si="3"/>
        <v>62870.26315789474</v>
      </c>
      <c r="J85" s="1"/>
      <c r="K85" s="1" t="s">
        <v>25</v>
      </c>
      <c r="L85" s="1"/>
      <c r="M85" s="4">
        <f t="shared" si="5"/>
        <v>62870.26315789474</v>
      </c>
      <c r="N85" s="2">
        <v>469</v>
      </c>
    </row>
    <row r="86" spans="1:14" x14ac:dyDescent="0.4">
      <c r="A86" s="1">
        <v>100085</v>
      </c>
      <c r="B86" s="1"/>
      <c r="C86" s="1"/>
      <c r="D86" s="1"/>
      <c r="E86" s="1"/>
      <c r="F86" s="1"/>
      <c r="G86" s="1">
        <v>6.5</v>
      </c>
      <c r="H86" s="1">
        <v>39</v>
      </c>
      <c r="I86" s="5">
        <f t="shared" si="3"/>
        <v>66857.105263157893</v>
      </c>
      <c r="J86" s="1"/>
      <c r="K86" s="1" t="s">
        <v>25</v>
      </c>
      <c r="L86" s="1"/>
      <c r="M86" s="4">
        <f t="shared" si="5"/>
        <v>66857.105263157893</v>
      </c>
      <c r="N86" s="2">
        <v>519</v>
      </c>
    </row>
    <row r="87" spans="1:14" x14ac:dyDescent="0.4">
      <c r="A87" s="1">
        <v>100086</v>
      </c>
      <c r="B87" s="1"/>
      <c r="C87" s="1"/>
      <c r="D87" s="1"/>
      <c r="E87" s="1"/>
      <c r="F87" s="1"/>
      <c r="G87" s="1">
        <v>7</v>
      </c>
      <c r="H87" s="1">
        <v>40</v>
      </c>
      <c r="I87" s="5">
        <f t="shared" si="3"/>
        <v>67654.473684210534</v>
      </c>
      <c r="J87" s="1"/>
      <c r="K87" s="1" t="s">
        <v>25</v>
      </c>
      <c r="L87" s="1"/>
      <c r="M87" s="4">
        <f t="shared" si="5"/>
        <v>67654.473684210534</v>
      </c>
      <c r="N87" s="2">
        <v>529</v>
      </c>
    </row>
    <row r="88" spans="1:14" x14ac:dyDescent="0.4">
      <c r="A88" s="1">
        <v>100087</v>
      </c>
      <c r="B88" s="1"/>
      <c r="C88" s="1"/>
      <c r="D88" s="1"/>
      <c r="E88" s="1"/>
      <c r="F88" s="1"/>
      <c r="G88" s="1">
        <v>7.5</v>
      </c>
      <c r="H88" s="1">
        <v>40.5</v>
      </c>
      <c r="I88" s="5">
        <f t="shared" si="3"/>
        <v>66059.736842105267</v>
      </c>
      <c r="J88" s="1"/>
      <c r="K88" s="1" t="s">
        <v>25</v>
      </c>
      <c r="L88" s="1"/>
      <c r="M88" s="4">
        <f t="shared" si="5"/>
        <v>66059.736842105267</v>
      </c>
      <c r="N88" s="2">
        <v>509</v>
      </c>
    </row>
    <row r="89" spans="1:14" x14ac:dyDescent="0.4">
      <c r="A89" s="1">
        <v>100088</v>
      </c>
      <c r="B89" s="1"/>
      <c r="C89" s="1"/>
      <c r="D89" s="1"/>
      <c r="E89" s="1"/>
      <c r="F89" s="1"/>
      <c r="G89" s="1">
        <v>8</v>
      </c>
      <c r="H89" s="1">
        <v>41</v>
      </c>
      <c r="I89" s="5">
        <f t="shared" si="3"/>
        <v>66059.736842105267</v>
      </c>
      <c r="J89" s="1"/>
      <c r="K89" s="1" t="s">
        <v>25</v>
      </c>
      <c r="L89" s="1"/>
      <c r="M89" s="4">
        <f t="shared" si="5"/>
        <v>66059.736842105267</v>
      </c>
      <c r="N89" s="2">
        <v>509</v>
      </c>
    </row>
    <row r="90" spans="1:14" x14ac:dyDescent="0.4">
      <c r="A90" s="1">
        <v>100089</v>
      </c>
      <c r="B90" s="1"/>
      <c r="C90" s="1"/>
      <c r="D90" s="1"/>
      <c r="E90" s="1"/>
      <c r="F90" s="1"/>
      <c r="G90" s="1">
        <v>8.5</v>
      </c>
      <c r="H90" s="1">
        <v>42</v>
      </c>
      <c r="I90" s="5">
        <f t="shared" si="3"/>
        <v>66857.105263157893</v>
      </c>
      <c r="J90" s="1"/>
      <c r="K90" s="1" t="s">
        <v>25</v>
      </c>
      <c r="L90" s="1"/>
      <c r="M90" s="4">
        <f t="shared" si="5"/>
        <v>66857.105263157893</v>
      </c>
      <c r="N90" s="2">
        <v>519</v>
      </c>
    </row>
    <row r="91" spans="1:14" x14ac:dyDescent="0.4">
      <c r="A91" s="1">
        <v>100090</v>
      </c>
      <c r="B91" s="1"/>
      <c r="C91" s="1"/>
      <c r="D91" s="1"/>
      <c r="E91" s="1"/>
      <c r="F91" s="1"/>
      <c r="G91" s="1">
        <v>9</v>
      </c>
      <c r="H91" s="1">
        <v>42.5</v>
      </c>
      <c r="I91" s="5">
        <f t="shared" si="3"/>
        <v>68451.84210526316</v>
      </c>
      <c r="J91" s="1"/>
      <c r="K91" s="1" t="s">
        <v>25</v>
      </c>
      <c r="L91" s="1"/>
      <c r="M91" s="4">
        <f t="shared" si="5"/>
        <v>68451.84210526316</v>
      </c>
      <c r="N91" s="2">
        <v>539</v>
      </c>
    </row>
    <row r="92" spans="1:14" x14ac:dyDescent="0.4">
      <c r="A92" s="1">
        <v>100091</v>
      </c>
      <c r="B92" s="1"/>
      <c r="C92" s="1"/>
      <c r="D92" s="1"/>
      <c r="E92" s="1"/>
      <c r="F92" s="1"/>
      <c r="G92" s="1">
        <v>9.5</v>
      </c>
      <c r="H92" s="1">
        <v>43</v>
      </c>
      <c r="I92" s="5">
        <f t="shared" si="3"/>
        <v>67654.473684210534</v>
      </c>
      <c r="J92" s="1"/>
      <c r="K92" s="1" t="s">
        <v>25</v>
      </c>
      <c r="L92" s="1"/>
      <c r="M92" s="4">
        <f t="shared" si="5"/>
        <v>67654.473684210534</v>
      </c>
      <c r="N92" s="2">
        <v>529</v>
      </c>
    </row>
    <row r="93" spans="1:14" x14ac:dyDescent="0.4">
      <c r="A93" s="1">
        <v>100092</v>
      </c>
      <c r="B93" s="1"/>
      <c r="C93" s="1"/>
      <c r="D93" s="1"/>
      <c r="E93" s="1"/>
      <c r="F93" s="1"/>
      <c r="G93" s="1">
        <v>10</v>
      </c>
      <c r="H93" s="1">
        <v>44</v>
      </c>
      <c r="I93" s="5">
        <f t="shared" si="3"/>
        <v>68451.84210526316</v>
      </c>
      <c r="J93" s="1"/>
      <c r="K93" s="1" t="s">
        <v>25</v>
      </c>
      <c r="L93" s="1"/>
      <c r="M93" s="4">
        <f t="shared" si="5"/>
        <v>68451.84210526316</v>
      </c>
      <c r="N93" s="2">
        <v>539</v>
      </c>
    </row>
    <row r="94" spans="1:14" x14ac:dyDescent="0.4">
      <c r="A94" s="1">
        <v>100093</v>
      </c>
      <c r="B94" s="1"/>
      <c r="C94" s="1"/>
      <c r="D94" s="1"/>
      <c r="E94" s="1"/>
      <c r="F94" s="1"/>
      <c r="G94" s="1">
        <v>10.5</v>
      </c>
      <c r="H94" s="1">
        <v>44.5</v>
      </c>
      <c r="I94" s="5">
        <f t="shared" si="3"/>
        <v>74830.789473684214</v>
      </c>
      <c r="J94" s="1"/>
      <c r="K94" s="1" t="s">
        <v>25</v>
      </c>
      <c r="L94" s="1"/>
      <c r="M94" s="4">
        <f t="shared" si="5"/>
        <v>74830.789473684214</v>
      </c>
      <c r="N94" s="2">
        <v>619</v>
      </c>
    </row>
    <row r="95" spans="1:14" ht="145.75" x14ac:dyDescent="0.4">
      <c r="A95" s="1">
        <v>100094</v>
      </c>
      <c r="B95" s="1"/>
      <c r="C95" s="1"/>
      <c r="D95" s="1"/>
      <c r="E95" s="1" t="s">
        <v>70</v>
      </c>
      <c r="F95" s="1" t="s">
        <v>71</v>
      </c>
      <c r="G95" s="1">
        <v>3.5</v>
      </c>
      <c r="H95" s="1">
        <v>35.5</v>
      </c>
      <c r="I95" s="5">
        <f t="shared" si="3"/>
        <v>66059.736842105267</v>
      </c>
      <c r="J95" s="1"/>
      <c r="K95" s="1" t="s">
        <v>25</v>
      </c>
      <c r="L95" s="9" t="s">
        <v>69</v>
      </c>
      <c r="M95" s="4">
        <f t="shared" ref="M95:M109" si="6">(N95*75+N95*75*0.01+15000+4200+5000)/0.95</f>
        <v>66059.736842105267</v>
      </c>
      <c r="N95" s="2">
        <v>509</v>
      </c>
    </row>
    <row r="96" spans="1:14" x14ac:dyDescent="0.4">
      <c r="A96" s="1">
        <v>100095</v>
      </c>
      <c r="B96" s="1"/>
      <c r="C96" s="1"/>
      <c r="D96" s="1"/>
      <c r="E96" s="1"/>
      <c r="F96" s="1"/>
      <c r="G96" s="1">
        <v>4</v>
      </c>
      <c r="H96" s="1">
        <v>36</v>
      </c>
      <c r="I96" s="5">
        <f t="shared" si="3"/>
        <v>65262.368421052633</v>
      </c>
      <c r="J96" s="1"/>
      <c r="K96" s="1" t="s">
        <v>25</v>
      </c>
      <c r="L96" s="1"/>
      <c r="M96" s="4">
        <f t="shared" si="6"/>
        <v>65262.368421052633</v>
      </c>
      <c r="N96" s="2">
        <v>499</v>
      </c>
    </row>
    <row r="97" spans="1:14" x14ac:dyDescent="0.4">
      <c r="A97" s="1">
        <v>100096</v>
      </c>
      <c r="B97" s="1"/>
      <c r="C97" s="1"/>
      <c r="D97" s="1"/>
      <c r="E97" s="1"/>
      <c r="F97" s="1"/>
      <c r="G97" s="1">
        <v>4.5</v>
      </c>
      <c r="H97" s="1">
        <v>36.5</v>
      </c>
      <c r="I97" s="5">
        <f t="shared" si="3"/>
        <v>66059.736842105267</v>
      </c>
      <c r="J97" s="1"/>
      <c r="K97" s="1" t="s">
        <v>25</v>
      </c>
      <c r="L97" s="1"/>
      <c r="M97" s="4">
        <f t="shared" si="6"/>
        <v>66059.736842105267</v>
      </c>
      <c r="N97" s="2">
        <v>509</v>
      </c>
    </row>
    <row r="98" spans="1:14" x14ac:dyDescent="0.4">
      <c r="A98" s="1">
        <v>100097</v>
      </c>
      <c r="B98" s="1"/>
      <c r="C98" s="1"/>
      <c r="D98" s="1"/>
      <c r="E98" s="1"/>
      <c r="F98" s="1"/>
      <c r="G98" s="1">
        <v>5</v>
      </c>
      <c r="H98" s="1">
        <v>37.5</v>
      </c>
      <c r="I98" s="5">
        <f t="shared" si="3"/>
        <v>69249.210526315786</v>
      </c>
      <c r="J98" s="1"/>
      <c r="K98" s="1" t="s">
        <v>25</v>
      </c>
      <c r="L98" s="1"/>
      <c r="M98" s="4">
        <f t="shared" si="6"/>
        <v>69249.210526315786</v>
      </c>
      <c r="N98" s="2">
        <v>549</v>
      </c>
    </row>
    <row r="99" spans="1:14" x14ac:dyDescent="0.4">
      <c r="A99" s="1">
        <v>100098</v>
      </c>
      <c r="B99" s="1"/>
      <c r="C99" s="1"/>
      <c r="D99" s="1"/>
      <c r="E99" s="1"/>
      <c r="F99" s="1"/>
      <c r="G99" s="1">
        <v>5.5</v>
      </c>
      <c r="H99" s="1">
        <v>38</v>
      </c>
      <c r="I99" s="5">
        <f t="shared" si="3"/>
        <v>78817.631578947374</v>
      </c>
      <c r="J99" s="1"/>
      <c r="K99" s="1" t="s">
        <v>25</v>
      </c>
      <c r="L99" s="1"/>
      <c r="M99" s="4">
        <f t="shared" si="6"/>
        <v>78817.631578947374</v>
      </c>
      <c r="N99" s="2">
        <v>669</v>
      </c>
    </row>
    <row r="100" spans="1:14" x14ac:dyDescent="0.4">
      <c r="A100" s="1">
        <v>100099</v>
      </c>
      <c r="B100" s="1"/>
      <c r="C100" s="1"/>
      <c r="D100" s="1"/>
      <c r="E100" s="1"/>
      <c r="F100" s="1"/>
      <c r="G100" s="1">
        <v>6</v>
      </c>
      <c r="H100" s="1">
        <v>38.5</v>
      </c>
      <c r="I100" s="5">
        <f t="shared" si="3"/>
        <v>80412.368421052641</v>
      </c>
      <c r="J100" s="1"/>
      <c r="K100" s="1" t="s">
        <v>25</v>
      </c>
      <c r="L100" s="1"/>
      <c r="M100" s="4">
        <f t="shared" si="6"/>
        <v>80412.368421052641</v>
      </c>
      <c r="N100" s="2">
        <v>689</v>
      </c>
    </row>
    <row r="101" spans="1:14" x14ac:dyDescent="0.4">
      <c r="A101" s="1">
        <v>100100</v>
      </c>
      <c r="B101" s="1"/>
      <c r="C101" s="1"/>
      <c r="D101" s="1"/>
      <c r="E101" s="1"/>
      <c r="F101" s="1"/>
      <c r="G101" s="1">
        <v>6.5</v>
      </c>
      <c r="H101" s="1">
        <v>39</v>
      </c>
      <c r="I101" s="5">
        <f t="shared" si="3"/>
        <v>82804.473684210534</v>
      </c>
      <c r="J101" s="1"/>
      <c r="K101" s="1" t="s">
        <v>25</v>
      </c>
      <c r="L101" s="1"/>
      <c r="M101" s="4">
        <f t="shared" si="6"/>
        <v>82804.473684210534</v>
      </c>
      <c r="N101" s="2">
        <v>719</v>
      </c>
    </row>
    <row r="102" spans="1:14" x14ac:dyDescent="0.4">
      <c r="A102" s="1">
        <v>100101</v>
      </c>
      <c r="B102" s="1"/>
      <c r="C102" s="1"/>
      <c r="D102" s="1"/>
      <c r="E102" s="1"/>
      <c r="F102" s="1"/>
      <c r="G102" s="1">
        <v>7</v>
      </c>
      <c r="H102" s="1">
        <v>40</v>
      </c>
      <c r="I102" s="5">
        <f t="shared" si="3"/>
        <v>70843.947368421053</v>
      </c>
      <c r="J102" s="1"/>
      <c r="K102" s="1" t="s">
        <v>25</v>
      </c>
      <c r="L102" s="1"/>
      <c r="M102" s="4">
        <f t="shared" si="6"/>
        <v>70843.947368421053</v>
      </c>
      <c r="N102" s="2">
        <v>569</v>
      </c>
    </row>
    <row r="103" spans="1:14" x14ac:dyDescent="0.4">
      <c r="A103" s="1">
        <v>100102</v>
      </c>
      <c r="B103" s="1"/>
      <c r="C103" s="1"/>
      <c r="D103" s="1"/>
      <c r="E103" s="1"/>
      <c r="F103" s="1"/>
      <c r="G103" s="1">
        <v>7.5</v>
      </c>
      <c r="H103" s="1">
        <v>40.5</v>
      </c>
      <c r="I103" s="5">
        <f t="shared" si="3"/>
        <v>71641.315789473694</v>
      </c>
      <c r="J103" s="1"/>
      <c r="K103" s="1" t="s">
        <v>25</v>
      </c>
      <c r="L103" s="1"/>
      <c r="M103" s="4">
        <f t="shared" si="6"/>
        <v>71641.315789473694</v>
      </c>
      <c r="N103" s="2">
        <v>579</v>
      </c>
    </row>
    <row r="104" spans="1:14" x14ac:dyDescent="0.4">
      <c r="A104" s="1">
        <v>100103</v>
      </c>
      <c r="B104" s="1"/>
      <c r="C104" s="1"/>
      <c r="D104" s="1"/>
      <c r="E104" s="1"/>
      <c r="F104" s="1"/>
      <c r="G104" s="1">
        <v>8</v>
      </c>
      <c r="H104" s="1">
        <v>41</v>
      </c>
      <c r="I104" s="5">
        <f t="shared" si="3"/>
        <v>68451.84210526316</v>
      </c>
      <c r="J104" s="1"/>
      <c r="K104" s="1" t="s">
        <v>25</v>
      </c>
      <c r="L104" s="1"/>
      <c r="M104" s="4">
        <f t="shared" si="6"/>
        <v>68451.84210526316</v>
      </c>
      <c r="N104" s="2">
        <v>539</v>
      </c>
    </row>
    <row r="105" spans="1:14" x14ac:dyDescent="0.4">
      <c r="A105" s="1">
        <v>100104</v>
      </c>
      <c r="B105" s="1"/>
      <c r="C105" s="1"/>
      <c r="D105" s="1"/>
      <c r="E105" s="1"/>
      <c r="F105" s="1"/>
      <c r="G105" s="1">
        <v>8.5</v>
      </c>
      <c r="H105" s="1">
        <v>42</v>
      </c>
      <c r="I105" s="5">
        <f t="shared" si="3"/>
        <v>65262.368421052633</v>
      </c>
      <c r="J105" s="1"/>
      <c r="K105" s="1" t="s">
        <v>25</v>
      </c>
      <c r="L105" s="1"/>
      <c r="M105" s="4">
        <f t="shared" si="6"/>
        <v>65262.368421052633</v>
      </c>
      <c r="N105" s="2">
        <v>499</v>
      </c>
    </row>
    <row r="106" spans="1:14" x14ac:dyDescent="0.4">
      <c r="A106" s="1">
        <v>100105</v>
      </c>
      <c r="B106" s="1"/>
      <c r="C106" s="1"/>
      <c r="D106" s="1"/>
      <c r="E106" s="1"/>
      <c r="F106" s="1"/>
      <c r="G106" s="1">
        <v>9</v>
      </c>
      <c r="H106" s="1">
        <v>42.5</v>
      </c>
      <c r="I106" s="5">
        <f t="shared" si="3"/>
        <v>68451.84210526316</v>
      </c>
      <c r="J106" s="1"/>
      <c r="K106" s="1" t="s">
        <v>25</v>
      </c>
      <c r="L106" s="1"/>
      <c r="M106" s="4">
        <f t="shared" si="6"/>
        <v>68451.84210526316</v>
      </c>
      <c r="N106" s="2">
        <v>539</v>
      </c>
    </row>
    <row r="107" spans="1:14" x14ac:dyDescent="0.4">
      <c r="A107" s="1">
        <v>100106</v>
      </c>
      <c r="B107" s="1"/>
      <c r="C107" s="1"/>
      <c r="D107" s="1"/>
      <c r="E107" s="1"/>
      <c r="F107" s="1"/>
      <c r="G107" s="1">
        <v>9.5</v>
      </c>
      <c r="H107" s="1">
        <v>43</v>
      </c>
      <c r="I107" s="5">
        <f t="shared" si="3"/>
        <v>71641.315789473694</v>
      </c>
      <c r="J107" s="1"/>
      <c r="K107" s="1" t="s">
        <v>25</v>
      </c>
      <c r="L107" s="1"/>
      <c r="M107" s="4">
        <f t="shared" si="6"/>
        <v>71641.315789473694</v>
      </c>
      <c r="N107" s="2">
        <v>579</v>
      </c>
    </row>
    <row r="108" spans="1:14" x14ac:dyDescent="0.4">
      <c r="A108" s="1">
        <v>100107</v>
      </c>
      <c r="B108" s="1"/>
      <c r="C108" s="1"/>
      <c r="D108" s="1"/>
      <c r="E108" s="1"/>
      <c r="F108" s="1"/>
      <c r="G108" s="1">
        <v>10</v>
      </c>
      <c r="H108" s="1">
        <v>44</v>
      </c>
      <c r="I108" s="5">
        <f t="shared" si="3"/>
        <v>73236.052631578947</v>
      </c>
      <c r="J108" s="1"/>
      <c r="K108" s="1" t="s">
        <v>25</v>
      </c>
      <c r="L108" s="1"/>
      <c r="M108" s="4">
        <f t="shared" si="6"/>
        <v>73236.052631578947</v>
      </c>
      <c r="N108" s="2">
        <v>599</v>
      </c>
    </row>
    <row r="109" spans="1:14" x14ac:dyDescent="0.4">
      <c r="A109" s="1">
        <v>100108</v>
      </c>
      <c r="B109" s="1"/>
      <c r="C109" s="1"/>
      <c r="D109" s="1"/>
      <c r="E109" s="1"/>
      <c r="F109" s="1"/>
      <c r="G109" s="1">
        <v>10.5</v>
      </c>
      <c r="H109" s="1">
        <v>44.5</v>
      </c>
      <c r="I109" s="5">
        <f t="shared" si="3"/>
        <v>82007.105263157893</v>
      </c>
      <c r="J109" s="1"/>
      <c r="K109" s="1" t="s">
        <v>25</v>
      </c>
      <c r="L109" s="1"/>
      <c r="M109" s="4">
        <f t="shared" si="6"/>
        <v>82007.105263157893</v>
      </c>
      <c r="N109" s="2">
        <v>709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N33"/>
  <sheetViews>
    <sheetView topLeftCell="A10" workbookViewId="0">
      <selection activeCell="K36" sqref="K36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5">
        <f>M2</f>
        <v>71641.315789473694</v>
      </c>
      <c r="J2" s="1"/>
      <c r="K2" s="1" t="s">
        <v>25</v>
      </c>
      <c r="L2" s="1"/>
      <c r="M2" s="4">
        <f>(N2*75+N2*75*0.01+15000+4200+5000)/0.95</f>
        <v>71641.315789473694</v>
      </c>
      <c r="N2" s="2">
        <v>579</v>
      </c>
    </row>
    <row r="3" spans="1:14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5">
        <f t="shared" ref="I3:I33" si="0">M3</f>
        <v>71641.315789473694</v>
      </c>
      <c r="J3" s="1"/>
      <c r="K3" s="1" t="s">
        <v>25</v>
      </c>
      <c r="L3" s="1"/>
      <c r="M3" s="4">
        <f t="shared" ref="M3:M33" si="1">(N3*75+N3*75*0.01+15000+4200+5000)/0.95</f>
        <v>71641.315789473694</v>
      </c>
      <c r="N3" s="2">
        <v>579</v>
      </c>
    </row>
    <row r="4" spans="1:14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5">
        <f t="shared" si="0"/>
        <v>71641.315789473694</v>
      </c>
      <c r="J4" s="1"/>
      <c r="K4" s="1" t="s">
        <v>25</v>
      </c>
      <c r="L4" s="1"/>
      <c r="M4" s="4">
        <f t="shared" si="1"/>
        <v>71641.315789473694</v>
      </c>
      <c r="N4" s="2">
        <v>579</v>
      </c>
    </row>
    <row r="5" spans="1:14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5">
        <f t="shared" si="0"/>
        <v>71641.315789473694</v>
      </c>
      <c r="J5" s="1"/>
      <c r="K5" s="1" t="s">
        <v>25</v>
      </c>
      <c r="L5" s="1"/>
      <c r="M5" s="4">
        <f t="shared" si="1"/>
        <v>71641.315789473694</v>
      </c>
      <c r="N5" s="2">
        <v>579</v>
      </c>
    </row>
    <row r="6" spans="1:14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5">
        <f t="shared" si="0"/>
        <v>71641.315789473694</v>
      </c>
      <c r="J6" s="1"/>
      <c r="K6" s="1" t="s">
        <v>25</v>
      </c>
      <c r="L6" s="1"/>
      <c r="M6" s="4">
        <f t="shared" si="1"/>
        <v>71641.315789473694</v>
      </c>
      <c r="N6" s="2">
        <v>579</v>
      </c>
    </row>
    <row r="7" spans="1:14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5">
        <f t="shared" si="0"/>
        <v>71641.315789473694</v>
      </c>
      <c r="J7" s="1"/>
      <c r="K7" s="1" t="s">
        <v>25</v>
      </c>
      <c r="L7" s="1"/>
      <c r="M7" s="4">
        <f t="shared" si="1"/>
        <v>71641.315789473694</v>
      </c>
      <c r="N7" s="2">
        <v>579</v>
      </c>
    </row>
    <row r="8" spans="1:14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5">
        <f t="shared" si="0"/>
        <v>71641.315789473694</v>
      </c>
      <c r="J8" s="1"/>
      <c r="K8" s="1" t="s">
        <v>25</v>
      </c>
      <c r="L8" s="1"/>
      <c r="M8" s="4">
        <f t="shared" si="1"/>
        <v>71641.315789473694</v>
      </c>
      <c r="N8" s="2">
        <v>579</v>
      </c>
    </row>
    <row r="9" spans="1:14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5">
        <f t="shared" si="0"/>
        <v>71641.315789473694</v>
      </c>
      <c r="J9" s="1"/>
      <c r="K9" s="1" t="s">
        <v>25</v>
      </c>
      <c r="L9" s="1"/>
      <c r="M9" s="4">
        <f t="shared" si="1"/>
        <v>71641.315789473694</v>
      </c>
      <c r="N9" s="2">
        <v>579</v>
      </c>
    </row>
    <row r="10" spans="1:14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5">
        <f t="shared" si="0"/>
        <v>71641.315789473694</v>
      </c>
      <c r="J10" s="1"/>
      <c r="K10" s="1" t="s">
        <v>25</v>
      </c>
      <c r="L10" s="1"/>
      <c r="M10" s="4">
        <f t="shared" si="1"/>
        <v>71641.315789473694</v>
      </c>
      <c r="N10" s="2">
        <v>579</v>
      </c>
    </row>
    <row r="11" spans="1:14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5">
        <f t="shared" si="0"/>
        <v>71641.315789473694</v>
      </c>
      <c r="J11" s="1"/>
      <c r="K11" s="1" t="s">
        <v>25</v>
      </c>
      <c r="L11" s="1"/>
      <c r="M11" s="4">
        <f t="shared" si="1"/>
        <v>71641.315789473694</v>
      </c>
      <c r="N11" s="2">
        <v>579</v>
      </c>
    </row>
    <row r="12" spans="1:14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5">
        <f t="shared" si="0"/>
        <v>71641.315789473694</v>
      </c>
      <c r="J12" s="1"/>
      <c r="K12" s="1" t="s">
        <v>25</v>
      </c>
      <c r="L12" s="1"/>
      <c r="M12" s="4">
        <f t="shared" si="1"/>
        <v>71641.315789473694</v>
      </c>
      <c r="N12" s="2">
        <v>579</v>
      </c>
    </row>
    <row r="13" spans="1:14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5">
        <f t="shared" si="0"/>
        <v>71641.315789473694</v>
      </c>
      <c r="J13" s="1"/>
      <c r="K13" s="1" t="s">
        <v>25</v>
      </c>
      <c r="L13" s="1"/>
      <c r="M13" s="4">
        <f t="shared" si="1"/>
        <v>71641.315789473694</v>
      </c>
      <c r="N13" s="2">
        <v>579</v>
      </c>
    </row>
    <row r="14" spans="1:14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5">
        <f t="shared" si="0"/>
        <v>71641.315789473694</v>
      </c>
      <c r="J14" s="1"/>
      <c r="K14" s="1" t="s">
        <v>25</v>
      </c>
      <c r="L14" s="1"/>
      <c r="M14" s="4">
        <f t="shared" si="1"/>
        <v>71641.315789473694</v>
      </c>
      <c r="N14" s="2">
        <v>579</v>
      </c>
    </row>
    <row r="15" spans="1:14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5">
        <f t="shared" si="0"/>
        <v>71641.315789473694</v>
      </c>
      <c r="J15" s="1"/>
      <c r="K15" s="1" t="s">
        <v>25</v>
      </c>
      <c r="L15" s="1"/>
      <c r="M15" s="4">
        <f t="shared" si="1"/>
        <v>71641.315789473694</v>
      </c>
      <c r="N15" s="2">
        <v>579</v>
      </c>
    </row>
    <row r="16" spans="1:14" x14ac:dyDescent="0.4">
      <c r="A16" s="1"/>
      <c r="B16" s="1"/>
      <c r="C16" s="1"/>
      <c r="D16" s="1"/>
      <c r="E16" s="1"/>
      <c r="F16" s="1"/>
      <c r="G16" s="1"/>
      <c r="H16" s="1"/>
      <c r="I16" s="5">
        <f t="shared" si="0"/>
        <v>71641.315789473694</v>
      </c>
      <c r="J16" s="1"/>
      <c r="K16" s="1" t="s">
        <v>25</v>
      </c>
      <c r="L16" s="1"/>
      <c r="M16" s="4">
        <f t="shared" si="1"/>
        <v>71641.315789473694</v>
      </c>
      <c r="N16" s="2">
        <v>579</v>
      </c>
    </row>
    <row r="17" spans="1:14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5">
        <f t="shared" si="0"/>
        <v>71641.315789473694</v>
      </c>
      <c r="J17" s="1"/>
      <c r="K17" s="1" t="s">
        <v>25</v>
      </c>
      <c r="L17" s="1"/>
      <c r="M17" s="4">
        <f t="shared" si="1"/>
        <v>71641.315789473694</v>
      </c>
      <c r="N17" s="2">
        <v>579</v>
      </c>
    </row>
    <row r="18" spans="1:14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5">
        <f t="shared" si="0"/>
        <v>71641.315789473694</v>
      </c>
      <c r="J18" s="1"/>
      <c r="K18" s="1" t="s">
        <v>25</v>
      </c>
      <c r="L18" s="1"/>
      <c r="M18" s="4">
        <f t="shared" si="1"/>
        <v>71641.315789473694</v>
      </c>
      <c r="N18" s="2">
        <v>579</v>
      </c>
    </row>
    <row r="19" spans="1:14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5">
        <f t="shared" si="0"/>
        <v>71641.315789473694</v>
      </c>
      <c r="J19" s="1"/>
      <c r="K19" s="1" t="s">
        <v>25</v>
      </c>
      <c r="L19" s="1"/>
      <c r="M19" s="4">
        <f t="shared" si="1"/>
        <v>71641.315789473694</v>
      </c>
      <c r="N19" s="2">
        <v>579</v>
      </c>
    </row>
    <row r="20" spans="1:14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5">
        <f t="shared" si="0"/>
        <v>71641.315789473694</v>
      </c>
      <c r="J20" s="1"/>
      <c r="K20" s="1" t="s">
        <v>25</v>
      </c>
      <c r="L20" s="1"/>
      <c r="M20" s="4">
        <f t="shared" si="1"/>
        <v>71641.315789473694</v>
      </c>
      <c r="N20" s="2">
        <v>579</v>
      </c>
    </row>
    <row r="21" spans="1:14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5">
        <f t="shared" si="0"/>
        <v>71641.315789473694</v>
      </c>
      <c r="J21" s="1"/>
      <c r="K21" s="1" t="s">
        <v>25</v>
      </c>
      <c r="L21" s="1"/>
      <c r="M21" s="4">
        <f t="shared" si="1"/>
        <v>71641.315789473694</v>
      </c>
      <c r="N21" s="2">
        <v>579</v>
      </c>
    </row>
    <row r="22" spans="1:14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5">
        <f t="shared" si="0"/>
        <v>71641.315789473694</v>
      </c>
      <c r="J22" s="1"/>
      <c r="K22" s="1" t="s">
        <v>25</v>
      </c>
      <c r="L22" s="1"/>
      <c r="M22" s="4">
        <f t="shared" si="1"/>
        <v>71641.315789473694</v>
      </c>
      <c r="N22" s="2">
        <v>579</v>
      </c>
    </row>
    <row r="23" spans="1:14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5">
        <f t="shared" si="0"/>
        <v>71641.315789473694</v>
      </c>
      <c r="J23" s="1"/>
      <c r="K23" s="1" t="s">
        <v>25</v>
      </c>
      <c r="L23" s="1"/>
      <c r="M23" s="4">
        <f t="shared" si="1"/>
        <v>71641.315789473694</v>
      </c>
      <c r="N23" s="2">
        <v>579</v>
      </c>
    </row>
    <row r="24" spans="1:14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5">
        <f t="shared" si="0"/>
        <v>71641.315789473694</v>
      </c>
      <c r="J24" s="1"/>
      <c r="K24" s="1" t="s">
        <v>25</v>
      </c>
      <c r="L24" s="1"/>
      <c r="M24" s="4">
        <f t="shared" si="1"/>
        <v>71641.315789473694</v>
      </c>
      <c r="N24" s="2">
        <v>579</v>
      </c>
    </row>
    <row r="25" spans="1:14" x14ac:dyDescent="0.4">
      <c r="A25" s="1"/>
      <c r="B25" s="1"/>
      <c r="C25" s="1"/>
      <c r="D25" s="1"/>
      <c r="E25" s="1"/>
      <c r="F25" s="1"/>
      <c r="G25" s="1">
        <v>9</v>
      </c>
      <c r="H25" s="1"/>
      <c r="I25" s="5">
        <f t="shared" si="0"/>
        <v>71641.315789473694</v>
      </c>
      <c r="J25" s="1"/>
      <c r="K25" s="1" t="s">
        <v>25</v>
      </c>
      <c r="L25" s="1"/>
      <c r="M25" s="4">
        <f t="shared" si="1"/>
        <v>71641.315789473694</v>
      </c>
      <c r="N25" s="2">
        <v>579</v>
      </c>
    </row>
    <row r="26" spans="1:14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5">
        <f t="shared" si="0"/>
        <v>71641.315789473694</v>
      </c>
      <c r="J26" s="1"/>
      <c r="K26" s="1" t="s">
        <v>25</v>
      </c>
      <c r="L26" s="1"/>
      <c r="M26" s="4">
        <f t="shared" si="1"/>
        <v>71641.315789473694</v>
      </c>
      <c r="N26" s="2">
        <v>579</v>
      </c>
    </row>
    <row r="27" spans="1:14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5">
        <f t="shared" si="0"/>
        <v>71641.315789473694</v>
      </c>
      <c r="J27" s="1"/>
      <c r="K27" s="1" t="s">
        <v>25</v>
      </c>
      <c r="L27" s="1"/>
      <c r="M27" s="4">
        <f t="shared" si="1"/>
        <v>71641.315789473694</v>
      </c>
      <c r="N27" s="2">
        <v>579</v>
      </c>
    </row>
    <row r="28" spans="1:14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5">
        <f t="shared" si="0"/>
        <v>71641.315789473694</v>
      </c>
      <c r="J28" s="1"/>
      <c r="K28" s="1" t="s">
        <v>25</v>
      </c>
      <c r="L28" s="1"/>
      <c r="M28" s="4">
        <f t="shared" si="1"/>
        <v>71641.315789473694</v>
      </c>
      <c r="N28" s="2">
        <v>579</v>
      </c>
    </row>
    <row r="29" spans="1:14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5">
        <f t="shared" si="0"/>
        <v>71641.315789473694</v>
      </c>
      <c r="J29" s="1"/>
      <c r="K29" s="1" t="s">
        <v>25</v>
      </c>
      <c r="L29" s="1"/>
      <c r="M29" s="4">
        <f t="shared" si="1"/>
        <v>71641.315789473694</v>
      </c>
      <c r="N29" s="2">
        <v>579</v>
      </c>
    </row>
    <row r="30" spans="1:14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5">
        <f t="shared" si="0"/>
        <v>71641.315789473694</v>
      </c>
      <c r="J30" s="1"/>
      <c r="K30" s="1" t="s">
        <v>25</v>
      </c>
      <c r="L30" s="1"/>
      <c r="M30" s="4">
        <f t="shared" si="1"/>
        <v>71641.315789473694</v>
      </c>
      <c r="N30" s="2">
        <v>579</v>
      </c>
    </row>
    <row r="31" spans="1:14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5">
        <f t="shared" si="0"/>
        <v>71641.315789473694</v>
      </c>
      <c r="J31" s="1"/>
      <c r="K31" s="1" t="s">
        <v>25</v>
      </c>
      <c r="L31" s="1"/>
      <c r="M31" s="4">
        <f t="shared" si="1"/>
        <v>71641.315789473694</v>
      </c>
      <c r="N31" s="2">
        <v>579</v>
      </c>
    </row>
    <row r="32" spans="1:14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5">
        <f t="shared" si="0"/>
        <v>71641.315789473694</v>
      </c>
      <c r="J32" s="1"/>
      <c r="K32" s="1" t="s">
        <v>25</v>
      </c>
      <c r="L32" s="1"/>
      <c r="M32" s="4">
        <f t="shared" si="1"/>
        <v>71641.315789473694</v>
      </c>
      <c r="N32" s="2">
        <v>579</v>
      </c>
    </row>
    <row r="33" spans="1:14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5">
        <f t="shared" si="0"/>
        <v>71641.315789473694</v>
      </c>
      <c r="J33" s="1"/>
      <c r="K33" s="1" t="s">
        <v>25</v>
      </c>
      <c r="L33" s="1"/>
      <c r="M33" s="4">
        <f t="shared" si="1"/>
        <v>71641.315789473694</v>
      </c>
      <c r="N33" s="2">
        <v>579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opLeftCell="D1" workbookViewId="0">
      <selection activeCell="H19" sqref="H19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5">
        <f>M2</f>
        <v>176175.5263157895</v>
      </c>
      <c r="J2" s="1"/>
      <c r="K2" s="1" t="s">
        <v>25</v>
      </c>
      <c r="L2" s="1"/>
      <c r="M2" s="4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1">
        <v>40.5</v>
      </c>
      <c r="I3" s="5">
        <f t="shared" ref="I3:I17" si="0">M3</f>
        <v>192920.26315789475</v>
      </c>
      <c r="J3" s="1"/>
      <c r="K3" s="1" t="s">
        <v>25</v>
      </c>
      <c r="L3" s="1"/>
      <c r="M3" s="4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1">
        <v>41.5</v>
      </c>
      <c r="I4" s="5">
        <f t="shared" si="0"/>
        <v>17578.947368421053</v>
      </c>
      <c r="J4" s="1"/>
      <c r="K4" s="1" t="s">
        <v>32</v>
      </c>
      <c r="L4" s="1"/>
      <c r="M4" s="4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5">
        <f t="shared" si="0"/>
        <v>261493.94736842107</v>
      </c>
      <c r="J5" s="1"/>
      <c r="K5" s="1" t="s">
        <v>25</v>
      </c>
      <c r="L5" s="1"/>
      <c r="M5" s="4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1">
        <v>42.5</v>
      </c>
      <c r="I6" s="5">
        <f t="shared" si="0"/>
        <v>192920.26315789475</v>
      </c>
      <c r="J6" s="1"/>
      <c r="K6" s="1" t="s">
        <v>25</v>
      </c>
      <c r="L6" s="1"/>
      <c r="M6" s="4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1">
        <v>43.5</v>
      </c>
      <c r="I7" s="5">
        <f t="shared" si="0"/>
        <v>208867.63157894739</v>
      </c>
      <c r="J7" s="1"/>
      <c r="K7" s="1" t="s">
        <v>25</v>
      </c>
      <c r="L7" s="1"/>
      <c r="M7" s="4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5">
        <f t="shared" si="0"/>
        <v>200893.94736842107</v>
      </c>
      <c r="J8" s="1"/>
      <c r="K8" s="1" t="s">
        <v>25</v>
      </c>
      <c r="L8" s="1"/>
      <c r="M8" s="4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1">
        <v>44.5</v>
      </c>
      <c r="I9" s="5">
        <f t="shared" si="0"/>
        <v>208867.63157894739</v>
      </c>
      <c r="J9" s="1"/>
      <c r="K9" s="1" t="s">
        <v>25</v>
      </c>
      <c r="L9" s="1"/>
      <c r="M9" s="4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5">
        <f t="shared" si="0"/>
        <v>154885.78947368421</v>
      </c>
      <c r="J10" s="1"/>
      <c r="K10" s="1" t="s">
        <v>25</v>
      </c>
      <c r="L10" s="1"/>
      <c r="M10" s="4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1">
        <v>40.5</v>
      </c>
      <c r="I11" s="5">
        <f t="shared" si="0"/>
        <v>130566.05263157895</v>
      </c>
      <c r="J11" s="1"/>
      <c r="K11" s="1" t="s">
        <v>25</v>
      </c>
      <c r="L11" s="1"/>
      <c r="M11" s="4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1">
        <v>41.5</v>
      </c>
      <c r="I12" s="5">
        <f t="shared" si="0"/>
        <v>138380.26315789475</v>
      </c>
      <c r="J12" s="1"/>
      <c r="K12" s="1" t="s">
        <v>25</v>
      </c>
      <c r="L12" s="1"/>
      <c r="M12" s="4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5">
        <f t="shared" si="0"/>
        <v>138699.21052631579</v>
      </c>
      <c r="J13" s="1"/>
      <c r="K13" s="1" t="s">
        <v>25</v>
      </c>
      <c r="L13" s="1"/>
      <c r="M13" s="4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1">
        <v>42.5</v>
      </c>
      <c r="I14" s="5">
        <f t="shared" si="0"/>
        <v>133994.73684210528</v>
      </c>
      <c r="J14" s="1"/>
      <c r="K14" s="1" t="s">
        <v>25</v>
      </c>
      <c r="L14" s="1"/>
      <c r="M14" s="4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1">
        <v>43.5</v>
      </c>
      <c r="I15" s="5">
        <f t="shared" si="0"/>
        <v>140293.94736842107</v>
      </c>
      <c r="J15" s="1"/>
      <c r="K15" s="1" t="s">
        <v>25</v>
      </c>
      <c r="L15" s="1"/>
      <c r="M15" s="4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5">
        <f t="shared" si="0"/>
        <v>138380.26315789475</v>
      </c>
      <c r="J16" s="1"/>
      <c r="K16" s="1" t="s">
        <v>25</v>
      </c>
      <c r="L16" s="1"/>
      <c r="M16" s="4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1">
        <v>44.5</v>
      </c>
      <c r="I17" s="5">
        <f t="shared" si="0"/>
        <v>136626.05263157896</v>
      </c>
      <c r="J17" s="1"/>
      <c r="K17" s="1" t="s">
        <v>25</v>
      </c>
      <c r="L17" s="1"/>
      <c r="M17" s="4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topLeftCell="D1" workbookViewId="0">
      <selection activeCell="H2" sqref="H2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5">
        <f>M2</f>
        <v>121157.10526315789</v>
      </c>
      <c r="J2" s="1"/>
      <c r="K2" s="1" t="s">
        <v>25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5">
        <f t="shared" ref="I3:I10" si="0">M3</f>
        <v>113183.42105263159</v>
      </c>
      <c r="J3" s="1"/>
      <c r="K3" s="1" t="s">
        <v>25</v>
      </c>
      <c r="L3" s="1"/>
      <c r="M3" s="4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5">
        <f t="shared" si="0"/>
        <v>121157.10526315789</v>
      </c>
      <c r="J4" s="1"/>
      <c r="K4" s="1" t="s">
        <v>32</v>
      </c>
      <c r="L4" s="1"/>
      <c r="M4" s="4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5">
        <f t="shared" si="0"/>
        <v>121157.10526315789</v>
      </c>
      <c r="J5" s="1"/>
      <c r="K5" s="1" t="s">
        <v>25</v>
      </c>
      <c r="L5" s="1"/>
      <c r="M5" s="4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5">
        <f t="shared" si="0"/>
        <v>113183.42105263159</v>
      </c>
      <c r="J6" s="1"/>
      <c r="K6" s="1" t="s">
        <v>25</v>
      </c>
      <c r="L6" s="1"/>
      <c r="M6" s="4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5">
        <f t="shared" si="0"/>
        <v>113183.42105263159</v>
      </c>
      <c r="J7" s="1"/>
      <c r="K7" s="1" t="s">
        <v>25</v>
      </c>
      <c r="L7" s="1"/>
      <c r="M7" s="4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5">
        <f t="shared" si="0"/>
        <v>118366.31578947369</v>
      </c>
      <c r="J8" s="1"/>
      <c r="K8" s="1" t="s">
        <v>25</v>
      </c>
      <c r="L8" s="1"/>
      <c r="M8" s="4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5">
        <f t="shared" si="0"/>
        <v>103615</v>
      </c>
      <c r="J9" s="1"/>
      <c r="K9" s="1" t="s">
        <v>25</v>
      </c>
      <c r="L9" s="1"/>
      <c r="M9" s="4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5">
        <f t="shared" si="0"/>
        <v>118366.31578947369</v>
      </c>
      <c r="J10" s="1"/>
      <c r="K10" s="1" t="s">
        <v>25</v>
      </c>
      <c r="L10" s="1"/>
      <c r="M10" s="4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5">
        <f>M2</f>
        <v>121157.10526315789</v>
      </c>
      <c r="J2" s="1"/>
      <c r="K2" s="1" t="s">
        <v>32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5">
        <f t="shared" ref="I3:I10" si="0">M3</f>
        <v>78099.210526315786</v>
      </c>
      <c r="J3" s="1"/>
      <c r="K3" s="1" t="s">
        <v>25</v>
      </c>
      <c r="L3" s="1"/>
      <c r="M3" s="4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5">
        <f t="shared" si="0"/>
        <v>72278.421052631587</v>
      </c>
      <c r="J4" s="1"/>
      <c r="K4" s="1" t="s">
        <v>25</v>
      </c>
      <c r="L4" s="1"/>
      <c r="M4" s="4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5">
        <f t="shared" si="0"/>
        <v>67733.421052631587</v>
      </c>
      <c r="J5" s="1"/>
      <c r="K5" s="1" t="s">
        <v>25</v>
      </c>
      <c r="L5" s="1"/>
      <c r="M5" s="4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5">
        <f t="shared" si="0"/>
        <v>76504.473684210534</v>
      </c>
      <c r="J6" s="1"/>
      <c r="K6" s="1" t="s">
        <v>25</v>
      </c>
      <c r="L6" s="1"/>
      <c r="M6" s="4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5">
        <f t="shared" si="0"/>
        <v>77301.84210526316</v>
      </c>
      <c r="J7" s="1"/>
      <c r="K7" s="1" t="s">
        <v>25</v>
      </c>
      <c r="L7" s="1"/>
      <c r="M7" s="4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5">
        <f t="shared" si="0"/>
        <v>69647.105263157893</v>
      </c>
      <c r="J8" s="1"/>
      <c r="K8" s="1" t="s">
        <v>25</v>
      </c>
      <c r="L8" s="1"/>
      <c r="M8" s="4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5">
        <f t="shared" si="0"/>
        <v>74830</v>
      </c>
      <c r="J9" s="1"/>
      <c r="K9" s="1" t="s">
        <v>25</v>
      </c>
      <c r="L9" s="1"/>
      <c r="M9" s="4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5">
        <f t="shared" si="0"/>
        <v>97236.052631578947</v>
      </c>
      <c r="J10" s="1"/>
      <c r="K10" s="1" t="s">
        <v>25</v>
      </c>
      <c r="L10" s="1"/>
      <c r="M10" s="4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9D1D-483E-48F2-ADAB-DFF52736FC78}">
  <dimension ref="A1:N17"/>
  <sheetViews>
    <sheetView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900001</v>
      </c>
      <c r="B2" s="1" t="s">
        <v>47</v>
      </c>
      <c r="C2" s="1" t="s">
        <v>48</v>
      </c>
      <c r="D2" s="1" t="s">
        <v>38</v>
      </c>
      <c r="E2" s="1" t="s">
        <v>30</v>
      </c>
      <c r="F2" s="1" t="s">
        <v>49</v>
      </c>
      <c r="G2" s="1">
        <v>3</v>
      </c>
      <c r="H2" s="1">
        <v>35.5</v>
      </c>
      <c r="I2" s="5">
        <f>M2</f>
        <v>121157.10526315789</v>
      </c>
      <c r="J2" s="1"/>
      <c r="K2" s="1" t="s">
        <v>32</v>
      </c>
      <c r="L2" s="1"/>
      <c r="M2" s="4">
        <f>(N2*75+N2*75*0.01+12500+4200)/0.95</f>
        <v>121157.10526315789</v>
      </c>
      <c r="N2" s="2">
        <v>1299</v>
      </c>
    </row>
    <row r="3" spans="1:14" x14ac:dyDescent="0.4">
      <c r="A3" s="1">
        <v>900002</v>
      </c>
      <c r="B3" s="1"/>
      <c r="C3" s="2"/>
      <c r="D3" s="1"/>
      <c r="E3" s="1"/>
      <c r="F3" s="1"/>
      <c r="G3" s="1">
        <v>4</v>
      </c>
      <c r="H3" s="1">
        <v>37</v>
      </c>
      <c r="I3" s="5">
        <f t="shared" ref="I3:I9" si="0">M3</f>
        <v>43812.368421052633</v>
      </c>
      <c r="J3" s="1"/>
      <c r="K3" s="1" t="s">
        <v>25</v>
      </c>
      <c r="L3" s="1"/>
      <c r="M3" s="4">
        <f t="shared" ref="M3:M10" si="1">(N3*75+N3*75*0.01+12500+4200)/0.95</f>
        <v>43812.368421052633</v>
      </c>
      <c r="N3" s="2">
        <v>329</v>
      </c>
    </row>
    <row r="4" spans="1:14" x14ac:dyDescent="0.4">
      <c r="A4" s="1">
        <v>900003</v>
      </c>
      <c r="B4" s="1"/>
      <c r="C4" s="1"/>
      <c r="D4" s="1"/>
      <c r="E4" s="1"/>
      <c r="F4" s="1"/>
      <c r="G4" s="1">
        <v>5</v>
      </c>
      <c r="H4" s="1">
        <v>38</v>
      </c>
      <c r="I4" s="5">
        <f t="shared" si="0"/>
        <v>44609.736842105267</v>
      </c>
      <c r="J4" s="1"/>
      <c r="K4" s="1" t="s">
        <v>25</v>
      </c>
      <c r="L4" s="1"/>
      <c r="M4" s="4">
        <f t="shared" si="1"/>
        <v>44609.736842105267</v>
      </c>
      <c r="N4" s="2">
        <v>339</v>
      </c>
    </row>
    <row r="5" spans="1:14" x14ac:dyDescent="0.4">
      <c r="A5" s="1">
        <v>900004</v>
      </c>
      <c r="B5" s="1"/>
      <c r="C5" s="1"/>
      <c r="D5" s="1"/>
      <c r="E5" s="1"/>
      <c r="F5" s="1"/>
      <c r="G5" s="1">
        <v>6</v>
      </c>
      <c r="H5" s="1">
        <v>39</v>
      </c>
      <c r="I5" s="5">
        <f t="shared" si="0"/>
        <v>43812.368421052633</v>
      </c>
      <c r="J5" s="1"/>
      <c r="K5" s="1" t="s">
        <v>25</v>
      </c>
      <c r="L5" s="1"/>
      <c r="M5" s="4">
        <f t="shared" si="1"/>
        <v>43812.368421052633</v>
      </c>
      <c r="N5" s="2">
        <v>329</v>
      </c>
    </row>
    <row r="6" spans="1:14" x14ac:dyDescent="0.4">
      <c r="A6" s="1">
        <v>900005</v>
      </c>
      <c r="B6" s="1"/>
      <c r="C6" s="1"/>
      <c r="D6" s="1"/>
      <c r="E6" s="1"/>
      <c r="F6" s="1"/>
      <c r="G6" s="1">
        <v>7</v>
      </c>
      <c r="H6" s="1">
        <v>40.5</v>
      </c>
      <c r="I6" s="5">
        <f t="shared" si="0"/>
        <v>45407.1052631579</v>
      </c>
      <c r="J6" s="1"/>
      <c r="K6" s="1" t="s">
        <v>25</v>
      </c>
      <c r="L6" s="1"/>
      <c r="M6" s="4">
        <f t="shared" si="1"/>
        <v>45407.1052631579</v>
      </c>
      <c r="N6" s="2">
        <v>349</v>
      </c>
    </row>
    <row r="7" spans="1:14" x14ac:dyDescent="0.4">
      <c r="A7" s="1">
        <v>900006</v>
      </c>
      <c r="B7" s="1"/>
      <c r="C7" s="1"/>
      <c r="D7" s="1"/>
      <c r="E7" s="1"/>
      <c r="F7" s="1"/>
      <c r="G7" s="1">
        <v>8</v>
      </c>
      <c r="H7" s="1">
        <v>42</v>
      </c>
      <c r="I7" s="5">
        <f t="shared" si="0"/>
        <v>47799.210526315794</v>
      </c>
      <c r="J7" s="1"/>
      <c r="K7" s="1" t="s">
        <v>25</v>
      </c>
      <c r="L7" s="1"/>
      <c r="M7" s="4">
        <f t="shared" si="1"/>
        <v>47799.210526315794</v>
      </c>
      <c r="N7" s="2">
        <v>379</v>
      </c>
    </row>
    <row r="8" spans="1:14" x14ac:dyDescent="0.4">
      <c r="A8" s="1">
        <v>900007</v>
      </c>
      <c r="B8" s="1"/>
      <c r="C8" s="1"/>
      <c r="D8" s="1"/>
      <c r="E8" s="1"/>
      <c r="F8" s="1"/>
      <c r="G8" s="1">
        <v>9</v>
      </c>
      <c r="H8" s="1">
        <v>43</v>
      </c>
      <c r="I8" s="5">
        <f t="shared" si="0"/>
        <v>49393.947368421053</v>
      </c>
      <c r="J8" s="1"/>
      <c r="K8" s="1" t="s">
        <v>25</v>
      </c>
      <c r="L8" s="1"/>
      <c r="M8" s="4">
        <f t="shared" si="1"/>
        <v>49393.947368421053</v>
      </c>
      <c r="N8" s="2">
        <v>399</v>
      </c>
    </row>
    <row r="9" spans="1:14" x14ac:dyDescent="0.4">
      <c r="A9" s="1">
        <v>900008</v>
      </c>
      <c r="B9" s="1"/>
      <c r="C9" s="1"/>
      <c r="D9" s="1"/>
      <c r="E9" s="1"/>
      <c r="F9" s="1"/>
      <c r="G9" s="1">
        <v>10</v>
      </c>
      <c r="H9" s="1">
        <v>44.5</v>
      </c>
      <c r="I9" s="5">
        <f t="shared" si="0"/>
        <v>48596.57894736842</v>
      </c>
      <c r="J9" s="1"/>
      <c r="K9" s="1" t="s">
        <v>25</v>
      </c>
      <c r="L9" s="1"/>
      <c r="M9" s="4">
        <f t="shared" si="1"/>
        <v>48596.57894736842</v>
      </c>
      <c r="N9" s="2">
        <v>389</v>
      </c>
    </row>
    <row r="10" spans="1:14" x14ac:dyDescent="0.4">
      <c r="A10" s="1">
        <v>900009</v>
      </c>
      <c r="B10" s="1"/>
      <c r="C10" s="1"/>
      <c r="D10" s="1"/>
      <c r="E10" s="1"/>
      <c r="F10" s="1"/>
      <c r="G10" s="1"/>
      <c r="H10" s="1"/>
      <c r="I10" s="5"/>
      <c r="J10" s="1"/>
      <c r="K10" s="1" t="s">
        <v>25</v>
      </c>
      <c r="L10" s="1"/>
      <c r="M10" s="4">
        <f t="shared" si="1"/>
        <v>97236.052631578947</v>
      </c>
      <c r="N10" s="2">
        <v>999</v>
      </c>
    </row>
    <row r="11" spans="1:14" x14ac:dyDescent="0.4">
      <c r="A11" s="1">
        <v>900010</v>
      </c>
      <c r="B11" s="1"/>
      <c r="C11" s="1"/>
      <c r="D11" s="1"/>
      <c r="E11" s="1"/>
      <c r="F11" s="1"/>
      <c r="G11" s="1"/>
      <c r="H11" s="1"/>
      <c r="I11" s="5"/>
      <c r="J11" s="1"/>
      <c r="K11" s="1"/>
      <c r="L11" s="1"/>
      <c r="M11" s="4"/>
      <c r="N11" s="2"/>
    </row>
    <row r="12" spans="1:14" x14ac:dyDescent="0.4">
      <c r="A12" s="1">
        <v>900011</v>
      </c>
      <c r="B12" s="1"/>
      <c r="C12" s="1"/>
      <c r="D12" s="1"/>
      <c r="E12" s="1"/>
      <c r="F12" s="1"/>
      <c r="G12" s="1"/>
      <c r="H12" s="1"/>
      <c r="I12" s="5"/>
      <c r="J12" s="1"/>
      <c r="K12" s="1"/>
      <c r="L12" s="1"/>
      <c r="M12" s="4"/>
      <c r="N12" s="2"/>
    </row>
    <row r="13" spans="1:14" x14ac:dyDescent="0.4">
      <c r="A13" s="1">
        <v>900012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900013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900014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900015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900016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8C7-496E-4AC5-9F63-2C6E81B9B7D4}">
  <dimension ref="A1:N17"/>
  <sheetViews>
    <sheetView workbookViewId="0">
      <selection activeCell="N17" sqref="N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110001</v>
      </c>
      <c r="B2" s="1" t="s">
        <v>50</v>
      </c>
      <c r="C2" s="1" t="s">
        <v>52</v>
      </c>
      <c r="D2" s="1" t="s">
        <v>38</v>
      </c>
      <c r="E2" s="1" t="s">
        <v>30</v>
      </c>
      <c r="F2" s="1" t="s">
        <v>51</v>
      </c>
      <c r="G2" s="1"/>
      <c r="H2" s="1">
        <v>35</v>
      </c>
      <c r="I2" s="5">
        <f>M2</f>
        <v>49154.736842105267</v>
      </c>
      <c r="J2" s="1"/>
      <c r="K2" s="1" t="s">
        <v>32</v>
      </c>
      <c r="L2" s="1"/>
      <c r="M2" s="4">
        <f>(N2*75+N2*75*0.01+12500+4200)/0.95</f>
        <v>49154.736842105267</v>
      </c>
      <c r="N2" s="2">
        <v>396</v>
      </c>
    </row>
    <row r="3" spans="1:14" x14ac:dyDescent="0.4">
      <c r="A3" s="1">
        <v>110002</v>
      </c>
      <c r="B3" s="1"/>
      <c r="C3" s="2"/>
      <c r="D3" s="1"/>
      <c r="E3" s="1"/>
      <c r="F3" s="1"/>
      <c r="G3" s="1"/>
      <c r="H3" s="1">
        <v>36</v>
      </c>
      <c r="I3" s="5">
        <f t="shared" ref="I3:I12" si="0">M3</f>
        <v>49154.736842105267</v>
      </c>
      <c r="J3" s="1"/>
      <c r="K3" s="1" t="s">
        <v>25</v>
      </c>
      <c r="L3" s="1"/>
      <c r="M3" s="4">
        <f t="shared" ref="M3:M12" si="1">(N3*75+N3*75*0.01+12500+4200)/0.95</f>
        <v>49154.736842105267</v>
      </c>
      <c r="N3" s="2">
        <v>396</v>
      </c>
    </row>
    <row r="4" spans="1:14" x14ac:dyDescent="0.4">
      <c r="A4" s="1">
        <v>110003</v>
      </c>
      <c r="B4" s="1"/>
      <c r="C4" s="1"/>
      <c r="D4" s="1"/>
      <c r="E4" s="1"/>
      <c r="F4" s="1"/>
      <c r="G4" s="1"/>
      <c r="H4" s="1">
        <v>37</v>
      </c>
      <c r="I4" s="5">
        <f t="shared" si="0"/>
        <v>49154.736842105267</v>
      </c>
      <c r="J4" s="1"/>
      <c r="K4" s="1" t="s">
        <v>25</v>
      </c>
      <c r="L4" s="1"/>
      <c r="M4" s="4">
        <f t="shared" si="1"/>
        <v>49154.736842105267</v>
      </c>
      <c r="N4" s="2">
        <v>396</v>
      </c>
    </row>
    <row r="5" spans="1:14" x14ac:dyDescent="0.4">
      <c r="A5" s="1">
        <v>110004</v>
      </c>
      <c r="B5" s="1"/>
      <c r="C5" s="1"/>
      <c r="D5" s="1"/>
      <c r="E5" s="1"/>
      <c r="F5" s="1"/>
      <c r="G5" s="1"/>
      <c r="H5" s="1">
        <v>38</v>
      </c>
      <c r="I5" s="5">
        <f t="shared" si="0"/>
        <v>49154.736842105267</v>
      </c>
      <c r="J5" s="1"/>
      <c r="K5" s="1" t="s">
        <v>25</v>
      </c>
      <c r="L5" s="1"/>
      <c r="M5" s="4">
        <f t="shared" si="1"/>
        <v>49154.736842105267</v>
      </c>
      <c r="N5" s="2">
        <v>396</v>
      </c>
    </row>
    <row r="6" spans="1:14" x14ac:dyDescent="0.4">
      <c r="A6" s="1">
        <v>110005</v>
      </c>
      <c r="B6" s="1"/>
      <c r="C6" s="1"/>
      <c r="D6" s="1"/>
      <c r="E6" s="1"/>
      <c r="F6" s="1"/>
      <c r="G6" s="1"/>
      <c r="H6" s="1">
        <v>39</v>
      </c>
      <c r="I6" s="5">
        <f t="shared" si="0"/>
        <v>49154.736842105267</v>
      </c>
      <c r="J6" s="1"/>
      <c r="K6" s="1" t="s">
        <v>25</v>
      </c>
      <c r="L6" s="1"/>
      <c r="M6" s="4">
        <f t="shared" si="1"/>
        <v>49154.736842105267</v>
      </c>
      <c r="N6" s="2">
        <v>396</v>
      </c>
    </row>
    <row r="7" spans="1:14" x14ac:dyDescent="0.4">
      <c r="A7" s="1">
        <v>110006</v>
      </c>
      <c r="B7" s="1"/>
      <c r="C7" s="1"/>
      <c r="D7" s="1"/>
      <c r="E7" s="1"/>
      <c r="F7" s="1"/>
      <c r="G7" s="1"/>
      <c r="H7" s="1">
        <v>40</v>
      </c>
      <c r="I7" s="5">
        <f t="shared" si="0"/>
        <v>49154.736842105267</v>
      </c>
      <c r="J7" s="1"/>
      <c r="K7" s="1" t="s">
        <v>25</v>
      </c>
      <c r="L7" s="1"/>
      <c r="M7" s="4">
        <f t="shared" si="1"/>
        <v>49154.736842105267</v>
      </c>
      <c r="N7" s="2">
        <v>396</v>
      </c>
    </row>
    <row r="8" spans="1:14" x14ac:dyDescent="0.4">
      <c r="A8" s="1">
        <v>110007</v>
      </c>
      <c r="B8" s="1"/>
      <c r="C8" s="1"/>
      <c r="D8" s="1"/>
      <c r="E8" s="1"/>
      <c r="F8" s="1"/>
      <c r="G8" s="1"/>
      <c r="H8" s="1">
        <v>41</v>
      </c>
      <c r="I8" s="5">
        <f t="shared" si="0"/>
        <v>49154.736842105267</v>
      </c>
      <c r="J8" s="1"/>
      <c r="K8" s="1" t="s">
        <v>25</v>
      </c>
      <c r="L8" s="1"/>
      <c r="M8" s="4">
        <f t="shared" si="1"/>
        <v>49154.736842105267</v>
      </c>
      <c r="N8" s="2">
        <v>396</v>
      </c>
    </row>
    <row r="9" spans="1:14" x14ac:dyDescent="0.4">
      <c r="A9" s="1">
        <v>110008</v>
      </c>
      <c r="B9" s="1"/>
      <c r="C9" s="1"/>
      <c r="D9" s="1"/>
      <c r="E9" s="1"/>
      <c r="F9" s="1"/>
      <c r="G9" s="1"/>
      <c r="H9" s="1">
        <v>42</v>
      </c>
      <c r="I9" s="5">
        <f t="shared" si="0"/>
        <v>49154.736842105267</v>
      </c>
      <c r="J9" s="1"/>
      <c r="K9" s="1" t="s">
        <v>25</v>
      </c>
      <c r="L9" s="1"/>
      <c r="M9" s="4">
        <f t="shared" si="1"/>
        <v>49154.736842105267</v>
      </c>
      <c r="N9" s="2">
        <v>396</v>
      </c>
    </row>
    <row r="10" spans="1:14" x14ac:dyDescent="0.4">
      <c r="A10" s="1">
        <v>110009</v>
      </c>
      <c r="B10" s="1"/>
      <c r="C10" s="1"/>
      <c r="D10" s="1"/>
      <c r="E10" s="1"/>
      <c r="F10" s="1"/>
      <c r="G10" s="1"/>
      <c r="H10" s="1">
        <v>43</v>
      </c>
      <c r="I10" s="5">
        <f t="shared" si="0"/>
        <v>49154.736842105267</v>
      </c>
      <c r="J10" s="1"/>
      <c r="K10" s="1" t="s">
        <v>25</v>
      </c>
      <c r="L10" s="1"/>
      <c r="M10" s="4">
        <f t="shared" si="1"/>
        <v>49154.736842105267</v>
      </c>
      <c r="N10" s="2">
        <v>396</v>
      </c>
    </row>
    <row r="11" spans="1:14" x14ac:dyDescent="0.4">
      <c r="A11" s="1">
        <v>110010</v>
      </c>
      <c r="B11" s="1"/>
      <c r="C11" s="1"/>
      <c r="D11" s="1"/>
      <c r="E11" s="1"/>
      <c r="F11" s="1"/>
      <c r="G11" s="1"/>
      <c r="H11" s="1">
        <v>44</v>
      </c>
      <c r="I11" s="5">
        <f t="shared" si="0"/>
        <v>49154.736842105267</v>
      </c>
      <c r="J11" s="1"/>
      <c r="K11" s="1" t="s">
        <v>25</v>
      </c>
      <c r="L11" s="1"/>
      <c r="M11" s="4">
        <f t="shared" si="1"/>
        <v>49154.736842105267</v>
      </c>
      <c r="N11" s="2">
        <v>396</v>
      </c>
    </row>
    <row r="12" spans="1:14" x14ac:dyDescent="0.4">
      <c r="A12" s="1">
        <v>110011</v>
      </c>
      <c r="B12" s="1"/>
      <c r="C12" s="1"/>
      <c r="D12" s="1"/>
      <c r="E12" s="1"/>
      <c r="F12" s="1"/>
      <c r="G12" s="1"/>
      <c r="H12" s="1">
        <v>45</v>
      </c>
      <c r="I12" s="5">
        <f t="shared" si="0"/>
        <v>49154.736842105267</v>
      </c>
      <c r="J12" s="1"/>
      <c r="K12" s="1" t="s">
        <v>25</v>
      </c>
      <c r="L12" s="1"/>
      <c r="M12" s="4">
        <f t="shared" si="1"/>
        <v>49154.736842105267</v>
      </c>
      <c r="N12" s="2">
        <v>396</v>
      </c>
    </row>
    <row r="13" spans="1:14" x14ac:dyDescent="0.4">
      <c r="A13" s="1">
        <v>110012</v>
      </c>
      <c r="B13" s="1"/>
      <c r="C13" s="1"/>
      <c r="D13" s="1"/>
      <c r="E13" s="1"/>
      <c r="F13" s="1"/>
      <c r="G13" s="1"/>
      <c r="H13" s="1"/>
      <c r="I13" s="5"/>
      <c r="J13" s="1"/>
      <c r="K13" s="1"/>
      <c r="L13" s="1"/>
      <c r="M13" s="4"/>
      <c r="N13" s="2"/>
    </row>
    <row r="14" spans="1:14" x14ac:dyDescent="0.4">
      <c r="A14" s="1">
        <v>110013</v>
      </c>
      <c r="B14" s="1"/>
      <c r="C14" s="1"/>
      <c r="D14" s="1"/>
      <c r="E14" s="1"/>
      <c r="F14" s="1"/>
      <c r="G14" s="1"/>
      <c r="H14" s="1"/>
      <c r="I14" s="5"/>
      <c r="J14" s="1"/>
      <c r="K14" s="1"/>
      <c r="L14" s="1"/>
      <c r="M14" s="4"/>
      <c r="N14" s="2"/>
    </row>
    <row r="15" spans="1:14" x14ac:dyDescent="0.4">
      <c r="A15" s="1">
        <v>110014</v>
      </c>
      <c r="B15" s="1"/>
      <c r="C15" s="1"/>
      <c r="D15" s="1"/>
      <c r="E15" s="1"/>
      <c r="F15" s="1"/>
      <c r="G15" s="1"/>
      <c r="H15" s="1"/>
      <c r="I15" s="5"/>
      <c r="J15" s="1"/>
      <c r="K15" s="1"/>
      <c r="L15" s="1"/>
      <c r="M15" s="4"/>
      <c r="N15" s="2"/>
    </row>
    <row r="16" spans="1:14" x14ac:dyDescent="0.4">
      <c r="A16" s="1">
        <v>110015</v>
      </c>
      <c r="B16" s="1"/>
      <c r="C16" s="1"/>
      <c r="D16" s="1"/>
      <c r="E16" s="1"/>
      <c r="F16" s="1"/>
      <c r="G16" s="1"/>
      <c r="H16" s="1"/>
      <c r="I16" s="5"/>
      <c r="J16" s="1"/>
      <c r="K16" s="1"/>
      <c r="L16" s="1"/>
      <c r="M16" s="4"/>
      <c r="N16" s="2"/>
    </row>
    <row r="17" spans="1:14" x14ac:dyDescent="0.4">
      <c r="A17" s="1">
        <v>110016</v>
      </c>
      <c r="B17" s="1"/>
      <c r="C17" s="1"/>
      <c r="D17" s="1"/>
      <c r="E17" s="1"/>
      <c r="F17" s="1"/>
      <c r="G17" s="1"/>
      <c r="H17" s="1"/>
      <c r="I17" s="5"/>
      <c r="J17" s="1"/>
      <c r="K17" s="1"/>
      <c r="L17" s="1"/>
      <c r="M17" s="4"/>
      <c r="N1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7DAE-5F88-4DCD-935A-6D905A01DBED}">
  <dimension ref="A1:N27"/>
  <sheetViews>
    <sheetView topLeftCell="A3" workbookViewId="0">
      <selection activeCell="R13" sqref="R13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5">
        <f>M2</f>
        <v>40303.947368421053</v>
      </c>
      <c r="J2" s="1"/>
      <c r="K2" s="1" t="s">
        <v>25</v>
      </c>
      <c r="L2" s="1"/>
      <c r="M2" s="4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5">
        <f t="shared" ref="I3:I25" si="0">M3</f>
        <v>39745.789473684214</v>
      </c>
      <c r="J3" s="1"/>
      <c r="K3" s="1" t="s">
        <v>25</v>
      </c>
      <c r="L3" s="1"/>
      <c r="M3" s="4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5">
        <f t="shared" si="0"/>
        <v>41021.57894736842</v>
      </c>
      <c r="J4" s="1"/>
      <c r="K4" s="1" t="s">
        <v>25</v>
      </c>
      <c r="L4" s="1"/>
      <c r="M4" s="4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5">
        <f t="shared" si="0"/>
        <v>40463.42105263158</v>
      </c>
      <c r="J5" s="1"/>
      <c r="K5" s="1" t="s">
        <v>25</v>
      </c>
      <c r="L5" s="1"/>
      <c r="M5" s="4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5">
        <f t="shared" si="0"/>
        <v>40463.42105263158</v>
      </c>
      <c r="J6" s="1"/>
      <c r="K6" s="1" t="s">
        <v>25</v>
      </c>
      <c r="L6" s="1"/>
      <c r="M6" s="4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5">
        <f t="shared" si="0"/>
        <v>39985</v>
      </c>
      <c r="J7" s="1"/>
      <c r="K7" s="1" t="s">
        <v>25</v>
      </c>
      <c r="L7" s="1"/>
      <c r="M7" s="4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5">
        <f t="shared" si="0"/>
        <v>39267.368421052633</v>
      </c>
      <c r="J8" s="1"/>
      <c r="K8" s="1" t="s">
        <v>25</v>
      </c>
      <c r="L8" s="1"/>
      <c r="M8" s="4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5">
        <f t="shared" si="0"/>
        <v>40941.84210526316</v>
      </c>
      <c r="J9" s="1"/>
      <c r="K9" s="1" t="s">
        <v>25</v>
      </c>
      <c r="L9" s="1"/>
      <c r="M9" s="4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5">
        <f t="shared" si="0"/>
        <v>47001.84210526316</v>
      </c>
      <c r="J10" s="1"/>
      <c r="K10" s="1" t="s">
        <v>25</v>
      </c>
      <c r="L10" s="1"/>
      <c r="M10" s="4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5">
        <f t="shared" si="0"/>
        <v>49393.947368421053</v>
      </c>
      <c r="J11" s="1"/>
      <c r="K11" s="1" t="s">
        <v>25</v>
      </c>
      <c r="L11" s="1"/>
      <c r="M11" s="4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7">
        <v>4.5</v>
      </c>
      <c r="H12" s="1">
        <v>34</v>
      </c>
      <c r="I12" s="5">
        <f t="shared" si="0"/>
        <v>42217.631578947374</v>
      </c>
      <c r="J12" s="1"/>
      <c r="K12" s="1" t="s">
        <v>32</v>
      </c>
      <c r="L12" s="1"/>
      <c r="M12" s="4">
        <f t="shared" si="1"/>
        <v>42217.631578947374</v>
      </c>
      <c r="N12" s="2">
        <v>309</v>
      </c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5">
        <f t="shared" si="0"/>
        <v>42217.631578947374</v>
      </c>
      <c r="J13" s="1"/>
      <c r="K13" s="1" t="s">
        <v>25</v>
      </c>
      <c r="L13" s="1"/>
      <c r="M13" s="4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7">
        <v>5.5</v>
      </c>
      <c r="H14" s="1">
        <v>36</v>
      </c>
      <c r="I14" s="5">
        <f t="shared" si="0"/>
        <v>41340.526315789473</v>
      </c>
      <c r="J14" s="1"/>
      <c r="K14" s="1" t="s">
        <v>25</v>
      </c>
      <c r="L14" s="1"/>
      <c r="M14" s="4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5">
        <f t="shared" si="0"/>
        <v>41101.315789473687</v>
      </c>
      <c r="J15" s="1"/>
      <c r="K15" s="1" t="s">
        <v>25</v>
      </c>
      <c r="L15" s="1"/>
      <c r="M15" s="4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7">
        <v>6.5</v>
      </c>
      <c r="H16" s="1">
        <v>38</v>
      </c>
      <c r="I16" s="5">
        <f t="shared" si="0"/>
        <v>42217.631578947374</v>
      </c>
      <c r="J16" s="1"/>
      <c r="K16" s="1" t="s">
        <v>25</v>
      </c>
      <c r="L16" s="1"/>
      <c r="M16" s="4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5">
        <f t="shared" si="0"/>
        <v>42775.789473684214</v>
      </c>
      <c r="J17" s="1"/>
      <c r="K17" s="1" t="s">
        <v>25</v>
      </c>
      <c r="L17" s="1"/>
      <c r="M17" s="4">
        <f t="shared" si="1"/>
        <v>42775.789473684214</v>
      </c>
      <c r="N17" s="2">
        <v>316</v>
      </c>
    </row>
    <row r="18" spans="1:14" x14ac:dyDescent="0.4">
      <c r="A18" s="1">
        <v>120017</v>
      </c>
      <c r="B18" s="6"/>
      <c r="C18" s="6"/>
      <c r="D18" s="6"/>
      <c r="E18" s="6"/>
      <c r="F18" s="6"/>
      <c r="G18" s="7">
        <v>7.5</v>
      </c>
      <c r="H18" s="1">
        <v>40</v>
      </c>
      <c r="I18" s="5">
        <f t="shared" si="0"/>
        <v>42775.789473684214</v>
      </c>
      <c r="J18" s="6"/>
      <c r="K18" s="1" t="s">
        <v>25</v>
      </c>
      <c r="L18" s="6"/>
      <c r="M18" s="4">
        <f t="shared" si="1"/>
        <v>42775.789473684214</v>
      </c>
      <c r="N18" s="2">
        <v>316</v>
      </c>
    </row>
    <row r="19" spans="1:14" x14ac:dyDescent="0.4">
      <c r="A19" s="1">
        <v>120018</v>
      </c>
      <c r="B19" s="6"/>
      <c r="C19" s="6"/>
      <c r="D19" s="6"/>
      <c r="E19" s="1" t="s">
        <v>43</v>
      </c>
      <c r="F19" s="6" t="s">
        <v>59</v>
      </c>
      <c r="G19" s="7">
        <v>4.5</v>
      </c>
      <c r="H19" s="1">
        <v>34</v>
      </c>
      <c r="I19" s="5">
        <f t="shared" si="0"/>
        <v>42775.789473684214</v>
      </c>
      <c r="J19" s="6"/>
      <c r="K19" s="1" t="s">
        <v>32</v>
      </c>
      <c r="L19" s="6"/>
      <c r="M19" s="4">
        <f t="shared" si="1"/>
        <v>42775.789473684214</v>
      </c>
      <c r="N19" s="2">
        <v>316</v>
      </c>
    </row>
    <row r="20" spans="1:14" x14ac:dyDescent="0.4">
      <c r="A20" s="1">
        <v>120019</v>
      </c>
      <c r="B20" s="6"/>
      <c r="C20" s="6"/>
      <c r="D20" s="6"/>
      <c r="E20" s="6"/>
      <c r="F20" s="6"/>
      <c r="G20" s="1">
        <v>5</v>
      </c>
      <c r="H20" s="1">
        <v>35</v>
      </c>
      <c r="I20" s="5">
        <f t="shared" si="0"/>
        <v>42775.789473684214</v>
      </c>
      <c r="J20" s="6"/>
      <c r="K20" s="1" t="s">
        <v>25</v>
      </c>
      <c r="L20" s="6"/>
      <c r="M20" s="4">
        <f t="shared" si="1"/>
        <v>42775.789473684214</v>
      </c>
      <c r="N20" s="2">
        <v>316</v>
      </c>
    </row>
    <row r="21" spans="1:14" x14ac:dyDescent="0.4">
      <c r="A21" s="1">
        <v>120020</v>
      </c>
      <c r="B21" s="6"/>
      <c r="C21" s="6"/>
      <c r="D21" s="6"/>
      <c r="E21" s="6"/>
      <c r="F21" s="6"/>
      <c r="G21" s="7">
        <v>5.5</v>
      </c>
      <c r="H21" s="1">
        <v>36</v>
      </c>
      <c r="I21" s="5">
        <f t="shared" si="0"/>
        <v>42775.789473684214</v>
      </c>
      <c r="J21" s="6"/>
      <c r="K21" s="1" t="s">
        <v>25</v>
      </c>
      <c r="L21" s="6"/>
      <c r="M21" s="4">
        <f t="shared" si="1"/>
        <v>42775.789473684214</v>
      </c>
      <c r="N21" s="2">
        <v>316</v>
      </c>
    </row>
    <row r="22" spans="1:14" x14ac:dyDescent="0.4">
      <c r="A22" s="1">
        <v>120021</v>
      </c>
      <c r="B22" s="6"/>
      <c r="C22" s="6"/>
      <c r="D22" s="6"/>
      <c r="E22" s="6"/>
      <c r="F22" s="6"/>
      <c r="G22" s="1">
        <v>6</v>
      </c>
      <c r="H22" s="1">
        <v>37</v>
      </c>
      <c r="I22" s="5">
        <f t="shared" si="0"/>
        <v>42217.631578947374</v>
      </c>
      <c r="J22" s="6"/>
      <c r="K22" s="1" t="s">
        <v>25</v>
      </c>
      <c r="L22" s="6"/>
      <c r="M22" s="4">
        <f t="shared" si="1"/>
        <v>42217.631578947374</v>
      </c>
      <c r="N22" s="2">
        <v>309</v>
      </c>
    </row>
    <row r="23" spans="1:14" x14ac:dyDescent="0.4">
      <c r="A23" s="1">
        <v>120022</v>
      </c>
      <c r="B23" s="6"/>
      <c r="C23" s="6"/>
      <c r="D23" s="6"/>
      <c r="E23" s="6"/>
      <c r="F23" s="6"/>
      <c r="G23" s="7">
        <v>6.5</v>
      </c>
      <c r="H23" s="1">
        <v>38</v>
      </c>
      <c r="I23" s="5">
        <f t="shared" si="0"/>
        <v>42217.631578947374</v>
      </c>
      <c r="J23" s="6"/>
      <c r="K23" s="1" t="s">
        <v>25</v>
      </c>
      <c r="L23" s="6"/>
      <c r="M23" s="4">
        <f t="shared" si="1"/>
        <v>42217.631578947374</v>
      </c>
      <c r="N23" s="2">
        <v>309</v>
      </c>
    </row>
    <row r="24" spans="1:14" x14ac:dyDescent="0.4">
      <c r="A24" s="1">
        <v>120023</v>
      </c>
      <c r="B24" s="6"/>
      <c r="C24" s="6"/>
      <c r="D24" s="6"/>
      <c r="E24" s="6"/>
      <c r="F24" s="6"/>
      <c r="G24" s="1">
        <v>7</v>
      </c>
      <c r="H24" s="1">
        <v>39</v>
      </c>
      <c r="I24" s="5">
        <f t="shared" si="0"/>
        <v>42217.631578947374</v>
      </c>
      <c r="J24" s="6"/>
      <c r="K24" s="1" t="s">
        <v>25</v>
      </c>
      <c r="L24" s="6"/>
      <c r="M24" s="4">
        <f t="shared" si="1"/>
        <v>42217.631578947374</v>
      </c>
      <c r="N24" s="2">
        <v>309</v>
      </c>
    </row>
    <row r="25" spans="1:14" x14ac:dyDescent="0.4">
      <c r="A25" s="1">
        <v>120024</v>
      </c>
      <c r="B25" s="6"/>
      <c r="C25" s="6"/>
      <c r="D25" s="6"/>
      <c r="E25" s="6"/>
      <c r="F25" s="6"/>
      <c r="G25" s="7">
        <v>7.5</v>
      </c>
      <c r="H25" s="1">
        <v>40</v>
      </c>
      <c r="I25" s="5">
        <f t="shared" si="0"/>
        <v>42217.631578947374</v>
      </c>
      <c r="J25" s="6"/>
      <c r="K25" s="1" t="s">
        <v>25</v>
      </c>
      <c r="L25" s="6"/>
      <c r="M25" s="4">
        <f t="shared" si="1"/>
        <v>42217.631578947374</v>
      </c>
      <c r="N25" s="2">
        <v>309</v>
      </c>
    </row>
    <row r="26" spans="1:14" x14ac:dyDescent="0.4">
      <c r="A26" s="1">
        <v>120025</v>
      </c>
      <c r="B26" s="6"/>
      <c r="C26" s="6"/>
      <c r="D26" s="6"/>
      <c r="E26" s="6"/>
      <c r="F26" s="6"/>
      <c r="G26" s="1"/>
      <c r="H26" s="1"/>
      <c r="I26" s="6"/>
      <c r="J26" s="6"/>
      <c r="K26" s="6"/>
      <c r="L26" s="6"/>
    </row>
    <row r="27" spans="1:14" x14ac:dyDescent="0.4">
      <c r="A27" s="1">
        <v>120026</v>
      </c>
      <c r="B27" s="6"/>
      <c r="C27" s="6"/>
      <c r="D27" s="6"/>
      <c r="E27" s="6"/>
      <c r="F27" s="6"/>
      <c r="G27" s="1"/>
      <c r="H27" s="1"/>
      <c r="I27" s="6"/>
      <c r="J27" s="6"/>
      <c r="K27" s="6"/>
      <c r="L27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DB198-90E3-43B8-AC7F-4804B31B1E93}">
  <dimension ref="A1:N27"/>
  <sheetViews>
    <sheetView topLeftCell="B1"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5">
        <f>M2</f>
        <v>40303.947368421053</v>
      </c>
      <c r="J2" s="1"/>
      <c r="K2" s="1" t="s">
        <v>32</v>
      </c>
      <c r="L2" s="1"/>
      <c r="M2" s="4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5">
        <f t="shared" ref="I3:I25" si="0">M3</f>
        <v>39745.789473684214</v>
      </c>
      <c r="J3" s="1"/>
      <c r="K3" s="1" t="s">
        <v>32</v>
      </c>
      <c r="L3" s="1"/>
      <c r="M3" s="4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5">
        <f t="shared" si="0"/>
        <v>41021.57894736842</v>
      </c>
      <c r="J4" s="1"/>
      <c r="K4" s="1" t="s">
        <v>32</v>
      </c>
      <c r="L4" s="1"/>
      <c r="M4" s="4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5">
        <f t="shared" si="0"/>
        <v>40463.42105263158</v>
      </c>
      <c r="J5" s="1"/>
      <c r="K5" s="1" t="s">
        <v>32</v>
      </c>
      <c r="L5" s="1"/>
      <c r="M5" s="4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5">
        <f t="shared" si="0"/>
        <v>40463.42105263158</v>
      </c>
      <c r="J6" s="1"/>
      <c r="K6" s="1" t="s">
        <v>32</v>
      </c>
      <c r="L6" s="1"/>
      <c r="M6" s="4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5">
        <f t="shared" si="0"/>
        <v>39985</v>
      </c>
      <c r="J7" s="1"/>
      <c r="K7" s="1" t="s">
        <v>32</v>
      </c>
      <c r="L7" s="1"/>
      <c r="M7" s="4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5">
        <f t="shared" si="0"/>
        <v>39267.368421052633</v>
      </c>
      <c r="J8" s="1"/>
      <c r="K8" s="1" t="s">
        <v>32</v>
      </c>
      <c r="L8" s="1"/>
      <c r="M8" s="4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5">
        <f t="shared" si="0"/>
        <v>40941.84210526316</v>
      </c>
      <c r="J9" s="1"/>
      <c r="K9" s="1" t="s">
        <v>32</v>
      </c>
      <c r="L9" s="1"/>
      <c r="M9" s="4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5">
        <f t="shared" si="0"/>
        <v>47001.84210526316</v>
      </c>
      <c r="J10" s="1"/>
      <c r="K10" s="1" t="s">
        <v>32</v>
      </c>
      <c r="L10" s="1"/>
      <c r="M10" s="4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5">
        <f t="shared" si="0"/>
        <v>49393.947368421053</v>
      </c>
      <c r="J11" s="1"/>
      <c r="K11" s="1" t="s">
        <v>32</v>
      </c>
      <c r="L11" s="1"/>
      <c r="M11" s="4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7">
        <v>4.5</v>
      </c>
      <c r="H12" s="1">
        <v>34</v>
      </c>
      <c r="I12" s="5">
        <f t="shared" si="0"/>
        <v>17578.947368421053</v>
      </c>
      <c r="J12" s="1"/>
      <c r="K12" s="1" t="s">
        <v>32</v>
      </c>
      <c r="L12" s="1"/>
      <c r="M12" s="4">
        <f t="shared" si="1"/>
        <v>17578.947368421053</v>
      </c>
      <c r="N12" s="2"/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5">
        <f t="shared" si="0"/>
        <v>42217.631578947374</v>
      </c>
      <c r="J13" s="1"/>
      <c r="K13" s="1" t="s">
        <v>25</v>
      </c>
      <c r="L13" s="1"/>
      <c r="M13" s="4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7">
        <v>5.5</v>
      </c>
      <c r="H14" s="1">
        <v>36</v>
      </c>
      <c r="I14" s="5">
        <f t="shared" si="0"/>
        <v>41340.526315789473</v>
      </c>
      <c r="J14" s="1"/>
      <c r="K14" s="1" t="s">
        <v>25</v>
      </c>
      <c r="L14" s="1"/>
      <c r="M14" s="4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5">
        <f t="shared" si="0"/>
        <v>41101.315789473687</v>
      </c>
      <c r="J15" s="1"/>
      <c r="K15" s="1" t="s">
        <v>25</v>
      </c>
      <c r="L15" s="1"/>
      <c r="M15" s="4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7">
        <v>6.5</v>
      </c>
      <c r="H16" s="1">
        <v>38</v>
      </c>
      <c r="I16" s="5">
        <f t="shared" si="0"/>
        <v>42217.631578947374</v>
      </c>
      <c r="J16" s="1"/>
      <c r="K16" s="1" t="s">
        <v>25</v>
      </c>
      <c r="L16" s="1"/>
      <c r="M16" s="4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5">
        <f t="shared" si="0"/>
        <v>42775.789473684214</v>
      </c>
      <c r="J17" s="1"/>
      <c r="K17" s="1" t="s">
        <v>25</v>
      </c>
      <c r="L17" s="1"/>
      <c r="M17" s="4">
        <f t="shared" si="1"/>
        <v>42775.789473684214</v>
      </c>
      <c r="N17" s="2">
        <v>316</v>
      </c>
    </row>
    <row r="18" spans="1:14" x14ac:dyDescent="0.4">
      <c r="A18" s="1">
        <v>120017</v>
      </c>
      <c r="B18" s="6"/>
      <c r="C18" s="6"/>
      <c r="D18" s="6"/>
      <c r="E18" s="6"/>
      <c r="F18" s="6"/>
      <c r="G18" s="7">
        <v>7.5</v>
      </c>
      <c r="H18" s="1">
        <v>40</v>
      </c>
      <c r="I18" s="5">
        <f t="shared" si="0"/>
        <v>42775.789473684214</v>
      </c>
      <c r="J18" s="6"/>
      <c r="K18" s="1" t="s">
        <v>25</v>
      </c>
      <c r="L18" s="6"/>
      <c r="M18" s="4">
        <f t="shared" si="1"/>
        <v>42775.789473684214</v>
      </c>
      <c r="N18" s="2">
        <v>316</v>
      </c>
    </row>
    <row r="19" spans="1:14" x14ac:dyDescent="0.4">
      <c r="A19" s="1">
        <v>120018</v>
      </c>
      <c r="B19" s="6"/>
      <c r="C19" s="6"/>
      <c r="D19" s="6"/>
      <c r="E19" s="1" t="s">
        <v>43</v>
      </c>
      <c r="F19" s="6" t="s">
        <v>59</v>
      </c>
      <c r="G19" s="7">
        <v>4.5</v>
      </c>
      <c r="H19" s="1">
        <v>34</v>
      </c>
      <c r="I19" s="5">
        <f t="shared" si="0"/>
        <v>42775.789473684214</v>
      </c>
      <c r="J19" s="6"/>
      <c r="K19" s="1" t="s">
        <v>32</v>
      </c>
      <c r="L19" s="6"/>
      <c r="M19" s="4">
        <f t="shared" si="1"/>
        <v>42775.789473684214</v>
      </c>
      <c r="N19" s="2">
        <v>316</v>
      </c>
    </row>
    <row r="20" spans="1:14" x14ac:dyDescent="0.4">
      <c r="A20" s="1">
        <v>120019</v>
      </c>
      <c r="B20" s="6"/>
      <c r="C20" s="6"/>
      <c r="D20" s="6"/>
      <c r="E20" s="6"/>
      <c r="F20" s="6"/>
      <c r="G20" s="1">
        <v>5</v>
      </c>
      <c r="H20" s="1">
        <v>35</v>
      </c>
      <c r="I20" s="5">
        <f t="shared" si="0"/>
        <v>42775.789473684214</v>
      </c>
      <c r="J20" s="6"/>
      <c r="K20" s="1" t="s">
        <v>25</v>
      </c>
      <c r="L20" s="6"/>
      <c r="M20" s="4">
        <f t="shared" si="1"/>
        <v>42775.789473684214</v>
      </c>
      <c r="N20" s="2">
        <v>316</v>
      </c>
    </row>
    <row r="21" spans="1:14" x14ac:dyDescent="0.4">
      <c r="A21" s="1">
        <v>120020</v>
      </c>
      <c r="B21" s="6"/>
      <c r="C21" s="6"/>
      <c r="D21" s="6"/>
      <c r="E21" s="6"/>
      <c r="F21" s="6"/>
      <c r="G21" s="7">
        <v>5.5</v>
      </c>
      <c r="H21" s="1">
        <v>36</v>
      </c>
      <c r="I21" s="5">
        <f t="shared" si="0"/>
        <v>42775.789473684214</v>
      </c>
      <c r="J21" s="6"/>
      <c r="K21" s="1" t="s">
        <v>25</v>
      </c>
      <c r="L21" s="6"/>
      <c r="M21" s="4">
        <f t="shared" si="1"/>
        <v>42775.789473684214</v>
      </c>
      <c r="N21" s="2">
        <v>316</v>
      </c>
    </row>
    <row r="22" spans="1:14" x14ac:dyDescent="0.4">
      <c r="A22" s="1">
        <v>120021</v>
      </c>
      <c r="B22" s="6"/>
      <c r="C22" s="6"/>
      <c r="D22" s="6"/>
      <c r="E22" s="6"/>
      <c r="F22" s="6"/>
      <c r="G22" s="1">
        <v>6</v>
      </c>
      <c r="H22" s="1">
        <v>37</v>
      </c>
      <c r="I22" s="5">
        <f t="shared" si="0"/>
        <v>42217.631578947374</v>
      </c>
      <c r="J22" s="6"/>
      <c r="K22" s="1" t="s">
        <v>25</v>
      </c>
      <c r="L22" s="6"/>
      <c r="M22" s="4">
        <f t="shared" si="1"/>
        <v>42217.631578947374</v>
      </c>
      <c r="N22" s="2">
        <v>309</v>
      </c>
    </row>
    <row r="23" spans="1:14" x14ac:dyDescent="0.4">
      <c r="A23" s="1">
        <v>120022</v>
      </c>
      <c r="B23" s="6"/>
      <c r="C23" s="6"/>
      <c r="D23" s="6"/>
      <c r="E23" s="6"/>
      <c r="F23" s="6"/>
      <c r="G23" s="7">
        <v>6.5</v>
      </c>
      <c r="H23" s="1">
        <v>38</v>
      </c>
      <c r="I23" s="5">
        <f t="shared" si="0"/>
        <v>42217.631578947374</v>
      </c>
      <c r="J23" s="6"/>
      <c r="K23" s="1" t="s">
        <v>25</v>
      </c>
      <c r="L23" s="6"/>
      <c r="M23" s="4">
        <f t="shared" si="1"/>
        <v>42217.631578947374</v>
      </c>
      <c r="N23" s="2">
        <v>309</v>
      </c>
    </row>
    <row r="24" spans="1:14" x14ac:dyDescent="0.4">
      <c r="A24" s="1">
        <v>120023</v>
      </c>
      <c r="B24" s="6"/>
      <c r="C24" s="6"/>
      <c r="D24" s="6"/>
      <c r="E24" s="6"/>
      <c r="F24" s="6"/>
      <c r="G24" s="1">
        <v>7</v>
      </c>
      <c r="H24" s="1">
        <v>39</v>
      </c>
      <c r="I24" s="5">
        <f t="shared" si="0"/>
        <v>42217.631578947374</v>
      </c>
      <c r="J24" s="6"/>
      <c r="K24" s="1" t="s">
        <v>25</v>
      </c>
      <c r="L24" s="6"/>
      <c r="M24" s="4">
        <f t="shared" si="1"/>
        <v>42217.631578947374</v>
      </c>
      <c r="N24" s="2">
        <v>309</v>
      </c>
    </row>
    <row r="25" spans="1:14" x14ac:dyDescent="0.4">
      <c r="A25" s="1">
        <v>120024</v>
      </c>
      <c r="B25" s="6"/>
      <c r="C25" s="6"/>
      <c r="D25" s="6"/>
      <c r="E25" s="6"/>
      <c r="F25" s="6"/>
      <c r="G25" s="7">
        <v>7.5</v>
      </c>
      <c r="H25" s="1">
        <v>40</v>
      </c>
      <c r="I25" s="5">
        <f t="shared" si="0"/>
        <v>42217.631578947374</v>
      </c>
      <c r="J25" s="6"/>
      <c r="K25" s="1" t="s">
        <v>25</v>
      </c>
      <c r="L25" s="6"/>
      <c r="M25" s="4">
        <f t="shared" si="1"/>
        <v>42217.631578947374</v>
      </c>
      <c r="N25" s="2">
        <v>309</v>
      </c>
    </row>
    <row r="26" spans="1:14" x14ac:dyDescent="0.4">
      <c r="A26" s="1">
        <v>120025</v>
      </c>
      <c r="B26" s="6"/>
      <c r="C26" s="6"/>
      <c r="D26" s="6"/>
      <c r="E26" s="6"/>
      <c r="F26" s="6"/>
      <c r="G26" s="1"/>
      <c r="H26" s="1"/>
      <c r="I26" s="6"/>
      <c r="J26" s="6"/>
      <c r="K26" s="6"/>
      <c r="L26" s="6"/>
    </row>
    <row r="27" spans="1:14" x14ac:dyDescent="0.4">
      <c r="A27" s="1">
        <v>120026</v>
      </c>
      <c r="B27" s="6"/>
      <c r="C27" s="6"/>
      <c r="D27" s="6"/>
      <c r="E27" s="6"/>
      <c r="F27" s="6"/>
      <c r="G27" s="1"/>
      <c r="H27" s="1"/>
      <c r="I27" s="6"/>
      <c r="J27" s="6"/>
      <c r="K27" s="6"/>
      <c r="L27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Nike</vt:lpstr>
      <vt:lpstr>Mizuno</vt:lpstr>
      <vt:lpstr>Hoka</vt:lpstr>
      <vt:lpstr>The North Face</vt:lpstr>
      <vt:lpstr>Timberland</vt:lpstr>
      <vt:lpstr>Adidas</vt:lpstr>
      <vt:lpstr>Native</vt:lpstr>
      <vt:lpstr>Dickies</vt:lpstr>
      <vt:lpstr>Skechers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2025-12-07T15:54:02Z</dcterms:modified>
</cp:coreProperties>
</file>