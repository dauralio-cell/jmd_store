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FFEE386C-B00F-4165-BE49-0D5D00329103}"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257" i="3" l="1"/>
  <c r="I257" i="3" s="1"/>
  <c r="M258" i="3"/>
  <c r="I258" i="3" s="1"/>
  <c r="M259" i="3"/>
  <c r="I259" i="3" s="1"/>
  <c r="M260" i="3"/>
  <c r="M261" i="3"/>
  <c r="M262" i="3"/>
  <c r="M263" i="3"/>
  <c r="I263" i="3" s="1"/>
  <c r="I260" i="3"/>
  <c r="I261" i="3"/>
  <c r="I262" i="3"/>
  <c r="I256" i="3"/>
  <c r="M234" i="3"/>
  <c r="I234" i="3" s="1"/>
  <c r="M235" i="3"/>
  <c r="I235" i="3" s="1"/>
  <c r="M236" i="3"/>
  <c r="M237" i="3"/>
  <c r="M238" i="3"/>
  <c r="M239" i="3"/>
  <c r="M240" i="3"/>
  <c r="M241" i="3"/>
  <c r="M242" i="3"/>
  <c r="I242" i="3" s="1"/>
  <c r="M243" i="3"/>
  <c r="I243" i="3" s="1"/>
  <c r="M244" i="3"/>
  <c r="M245" i="3"/>
  <c r="I245" i="3" s="1"/>
  <c r="M246" i="3"/>
  <c r="I246" i="3" s="1"/>
  <c r="M247" i="3"/>
  <c r="I247" i="3" s="1"/>
  <c r="M248" i="3"/>
  <c r="I248" i="3" s="1"/>
  <c r="M249" i="3"/>
  <c r="I249" i="3" s="1"/>
  <c r="M250" i="3"/>
  <c r="I250" i="3" s="1"/>
  <c r="M251" i="3"/>
  <c r="I251" i="3" s="1"/>
  <c r="M252" i="3"/>
  <c r="I252" i="3" s="1"/>
  <c r="M253" i="3"/>
  <c r="I253" i="3" s="1"/>
  <c r="M254" i="3"/>
  <c r="I254" i="3" s="1"/>
  <c r="M255" i="3"/>
  <c r="I255" i="3" s="1"/>
  <c r="M256" i="3"/>
  <c r="I236" i="3"/>
  <c r="I237" i="3"/>
  <c r="I238" i="3"/>
  <c r="I239" i="3"/>
  <c r="I240" i="3"/>
  <c r="I241" i="3"/>
  <c r="I244" i="3"/>
  <c r="M219" i="3"/>
  <c r="I219" i="3" s="1"/>
  <c r="M220" i="3"/>
  <c r="I220" i="3" s="1"/>
  <c r="M221" i="3"/>
  <c r="I221" i="3" s="1"/>
  <c r="M222" i="3"/>
  <c r="I222" i="3" s="1"/>
  <c r="M223" i="3"/>
  <c r="I223" i="3" s="1"/>
  <c r="M224" i="3"/>
  <c r="I224" i="3" s="1"/>
  <c r="M225" i="3"/>
  <c r="I225" i="3" s="1"/>
  <c r="M226" i="3"/>
  <c r="I226" i="3" s="1"/>
  <c r="M227" i="3"/>
  <c r="I227" i="3" s="1"/>
  <c r="M228" i="3"/>
  <c r="I228" i="3" s="1"/>
  <c r="M229" i="3"/>
  <c r="I229" i="3" s="1"/>
  <c r="M230" i="3"/>
  <c r="I230" i="3" s="1"/>
  <c r="M231" i="3"/>
  <c r="I231" i="3" s="1"/>
  <c r="M232" i="3"/>
  <c r="I232" i="3" s="1"/>
  <c r="M233" i="3"/>
  <c r="I233" i="3" s="1"/>
  <c r="M204" i="3"/>
  <c r="I204" i="3" s="1"/>
  <c r="M205" i="3"/>
  <c r="I205" i="3" s="1"/>
  <c r="M206" i="3"/>
  <c r="I206" i="3" s="1"/>
  <c r="M207" i="3"/>
  <c r="M208" i="3"/>
  <c r="I208" i="3" s="1"/>
  <c r="M209" i="3"/>
  <c r="I209" i="3" s="1"/>
  <c r="M210" i="3"/>
  <c r="I210" i="3" s="1"/>
  <c r="M211" i="3"/>
  <c r="I211" i="3" s="1"/>
  <c r="M212" i="3"/>
  <c r="I212" i="3" s="1"/>
  <c r="M213" i="3"/>
  <c r="I213" i="3" s="1"/>
  <c r="M214" i="3"/>
  <c r="I214" i="3" s="1"/>
  <c r="M215" i="3"/>
  <c r="I215" i="3" s="1"/>
  <c r="M216" i="3"/>
  <c r="I216" i="3" s="1"/>
  <c r="M217" i="3"/>
  <c r="I217" i="3" s="1"/>
  <c r="M218" i="3"/>
  <c r="I218" i="3" s="1"/>
  <c r="I207" i="3"/>
  <c r="M189" i="3"/>
  <c r="M190" i="3"/>
  <c r="I190" i="3" s="1"/>
  <c r="M191" i="3"/>
  <c r="I191" i="3" s="1"/>
  <c r="M192" i="3"/>
  <c r="I192" i="3" s="1"/>
  <c r="M193" i="3"/>
  <c r="I193" i="3" s="1"/>
  <c r="M194" i="3"/>
  <c r="I194" i="3" s="1"/>
  <c r="M195" i="3"/>
  <c r="I195" i="3" s="1"/>
  <c r="M196" i="3"/>
  <c r="I196" i="3" s="1"/>
  <c r="M197" i="3"/>
  <c r="M198" i="3"/>
  <c r="I198" i="3" s="1"/>
  <c r="M199" i="3"/>
  <c r="I199" i="3" s="1"/>
  <c r="M200" i="3"/>
  <c r="I200" i="3" s="1"/>
  <c r="M201" i="3"/>
  <c r="I201" i="3" s="1"/>
  <c r="M202" i="3"/>
  <c r="I202" i="3" s="1"/>
  <c r="M203" i="3"/>
  <c r="I203" i="3" s="1"/>
  <c r="I189" i="3"/>
  <c r="I197" i="3"/>
  <c r="M174" i="3"/>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<sst xmlns="http://schemas.openxmlformats.org/spreadsheetml/2006/main" count="647" uniqueCount="94">
  <si>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</si>
  <si>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</si>
  <si>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</si>
  <si>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</si>
  <si>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</si>
  <si>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</si>
  <si>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</si>
  <si>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</si>
  <si>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</si>
  <si>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</si>
  <si>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</si>
  <si>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</si>
  <si>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</si>
  <si>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</si>
  <si>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</si>
  <si>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</si>
  <si>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</si>
  <si>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</si>
  <si>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</si>
  <si>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</si>
  <si>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</si>
  <si>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</si>
  <si>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</si>
  <si>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</si>
  <si>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</si>
  <si>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</si>
  <si>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</si>
  <si>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</si>
  <si>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</si>
  <si>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</si>
  <si>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</si>
  <si>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</si>
  <si>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</si>
  <si>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</si>
  <si>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</si>
  <si>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</si>
  <si>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</si>
  <si>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</si>
  <si>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</si>
  <si>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</si>
  <si>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</si>
  <si>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</si>
  <si>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</si>
  <si>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</si>
  <si>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</si>
  <si>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</si>
  <si>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</si>
  <si>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</si>
  <si>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</si>
  <si>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</si>
  <si>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</si>
  <si>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</si>
  <si>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</si>
  <si>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</si>
  <si>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</si>
  <si>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</si>
  <si>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</si>
  <si>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</si>
  <si>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</si>
  <si>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</si>
  <si>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</si>
  <si>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</si>
  <si>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</si>
  <si>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</si>
  <si>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</si>
  <si>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</si>
  <si>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</si>
  <si>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</si>
  <si>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</si>
  <si>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</si>
  <si>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</si>
  <si>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</si>
  <si>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</si>
  <si>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</si>
  <si>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</si>
  <si>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</si>
  <si>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</si>
  <si>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</si>
  <si>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</si>
  <si>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</si>
  <si>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</si>
  <si>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</si>
  <si>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</si>
  <si>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</si>
  <si>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</si>
  <si>
    <t>100188_1 100188_2 100188_3 100188_4 100188_5</t>
  </si>
  <si>
    <t>blue</t>
  </si>
  <si>
    <t>100203_1 100203_2 100203_3 100203_4 100203_5 100203_6</t>
  </si>
  <si>
    <t>100218_1 100218_2 100218_3 100218_4 100218_5 100218_6</t>
  </si>
  <si>
    <t>Классикаға әрқашан сенуге болады. Dunk Low өзіне тән аңызға айналған түстік стилін премиум материалдармен және жұмсақ ішкі қабатпен үйлестіріп, ерекше жайлылық береді. Мүмкіндіктер шексіз — Dunks-ыңды қалай киесің?
На классику всегда можно положиться. Dunk Low сочетает свой легендарный цветовой стиль с премиальными материалами и мягкой подкладкой, обеспечивая комфорт нового уровня. Возможности безграничны — как будешь носить свои Dunks?</t>
  </si>
  <si>
    <t>Dunk SB Low Pro</t>
  </si>
  <si>
    <t>100233_1 100233_2 100233_3 100233_4 100233_5 100233_6</t>
  </si>
  <si>
    <t>red</t>
  </si>
  <si>
    <t>100248_1 100248_2 100248_3 100248_4 100248_5 100248_6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</si>
</sst>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2" x14ac:knownFonts="1">
    <font>
      <sz val="11"/>
      <color theme="1"/>
      <name val="Calibri"/>
      <family val="2"/>
      <charset val="204"/>
      <scheme val="minor"/>
    </font>
    <font>
      <sz val="8"/>
      <name val="Calibri"/>
      <family val="2"/>
      <charset val="204"/>
      <scheme val="minor"/>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cellStyleXfs>
  <cellXfs count="12">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N265"/>
  <sheetViews>
    <sheetView tabSelected="1" zoomScale="70" zoomScaleNormal="70" workbookViewId="0">
      <pane ySplit="1" topLeftCell="A241" activePane="bottomLeft" state="frozen"/>
      <selection pane="bottomLeft" activeCell="N264" sqref="N264"/>
    </sheetView>
  </sheetViews>
  <sheetFormatPr defaultRowHeight="14.6" x14ac:dyDescent="0.4"/>
  <cols>
    <col min="1" max="2" width="9.23046875" style="2"/>
    <col min="3" max="3" width="31.84375" style="2" bestFit="1" customWidth="1"/>
    <col min="4" max="5" width="9.23046875" style="2"/>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201"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222"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65262.368421052633</v>
      </c>
      <c r="J174" s="1"/>
      <c r="K174" s="1" t="s">
        <v>25</v>
      </c>
      <c r="L174" s="9" t="s">
        <v>84</v>
      </c>
      <c r="M174" s="4">
        <f t="shared" si="9"/>
        <v>65262.368421052633</v>
      </c>
      <c r="N174" s="2">
        <v>499</v>
      </c>
    </row>
    <row r="175" spans="1:14" x14ac:dyDescent="0.4">
      <c r="A175" s="1">
        <v>100174</v>
      </c>
      <c r="B175" s="1"/>
      <c r="C175" s="1"/>
      <c r="D175" s="1"/>
      <c r="E175" s="1"/>
      <c r="F175" s="1"/>
      <c r="G175" s="1">
        <v>4</v>
      </c>
      <c r="H175" s="1">
        <v>36</v>
      </c>
      <c r="I175" s="5">
        <f t="shared" si="8"/>
        <v>64465</v>
      </c>
      <c r="J175" s="1"/>
      <c r="K175" s="1" t="s">
        <v>25</v>
      </c>
      <c r="L175" s="1"/>
      <c r="M175" s="4">
        <f t="shared" si="9"/>
        <v>64465</v>
      </c>
      <c r="N175" s="2">
        <v>489</v>
      </c>
    </row>
    <row r="176" spans="1:14" x14ac:dyDescent="0.4">
      <c r="A176" s="1">
        <v>100175</v>
      </c>
      <c r="B176" s="1"/>
      <c r="C176" s="1"/>
      <c r="D176" s="1"/>
      <c r="E176" s="1"/>
      <c r="F176" s="1"/>
      <c r="G176" s="1">
        <v>4.5</v>
      </c>
      <c r="H176" s="1">
        <v>36.5</v>
      </c>
      <c r="I176" s="5">
        <f t="shared" si="8"/>
        <v>63667.631578947374</v>
      </c>
      <c r="J176" s="1"/>
      <c r="K176" s="1" t="s">
        <v>25</v>
      </c>
      <c r="L176" s="1"/>
      <c r="M176" s="4">
        <f t="shared" si="9"/>
        <v>63667.631578947374</v>
      </c>
      <c r="N176" s="2">
        <v>479</v>
      </c>
    </row>
    <row r="177" spans="1:14" x14ac:dyDescent="0.4">
      <c r="A177" s="1">
        <v>100176</v>
      </c>
      <c r="B177" s="1"/>
      <c r="C177" s="1"/>
      <c r="D177" s="1"/>
      <c r="E177" s="1"/>
      <c r="F177" s="1"/>
      <c r="G177" s="1">
        <v>5</v>
      </c>
      <c r="H177" s="1">
        <v>37.5</v>
      </c>
      <c r="I177" s="5">
        <f t="shared" si="8"/>
        <v>66059.736842105267</v>
      </c>
      <c r="J177" s="1"/>
      <c r="K177" s="1" t="s">
        <v>25</v>
      </c>
      <c r="L177" s="1"/>
      <c r="M177" s="4">
        <f t="shared" si="9"/>
        <v>66059.736842105267</v>
      </c>
      <c r="N177" s="2">
        <v>509</v>
      </c>
    </row>
    <row r="178" spans="1:14" x14ac:dyDescent="0.4">
      <c r="A178" s="1">
        <v>100177</v>
      </c>
      <c r="B178" s="1"/>
      <c r="C178" s="1"/>
      <c r="D178" s="1"/>
      <c r="E178" s="1"/>
      <c r="F178" s="1"/>
      <c r="G178" s="1">
        <v>5.5</v>
      </c>
      <c r="H178" s="1">
        <v>38</v>
      </c>
      <c r="I178" s="5">
        <f t="shared" si="8"/>
        <v>66059.736842105267</v>
      </c>
      <c r="J178" s="1"/>
      <c r="K178" s="1" t="s">
        <v>25</v>
      </c>
      <c r="L178" s="1"/>
      <c r="M178" s="4">
        <f t="shared" si="9"/>
        <v>66059.736842105267</v>
      </c>
      <c r="N178" s="2">
        <v>509</v>
      </c>
    </row>
    <row r="179" spans="1:14" x14ac:dyDescent="0.4">
      <c r="A179" s="1">
        <v>100178</v>
      </c>
      <c r="B179" s="1"/>
      <c r="C179" s="1"/>
      <c r="D179" s="1"/>
      <c r="E179" s="1"/>
      <c r="F179" s="1"/>
      <c r="G179" s="1">
        <v>6</v>
      </c>
      <c r="H179" s="1">
        <v>38.5</v>
      </c>
      <c r="I179" s="5">
        <f t="shared" si="8"/>
        <v>66857.105263157893</v>
      </c>
      <c r="J179" s="1"/>
      <c r="K179" s="1" t="s">
        <v>25</v>
      </c>
      <c r="L179" s="1"/>
      <c r="M179" s="4">
        <f t="shared" si="9"/>
        <v>66857.105263157893</v>
      </c>
      <c r="N179" s="2">
        <v>519</v>
      </c>
    </row>
    <row r="180" spans="1:14" x14ac:dyDescent="0.4">
      <c r="A180" s="1">
        <v>100179</v>
      </c>
      <c r="B180" s="1"/>
      <c r="C180" s="1"/>
      <c r="D180" s="1"/>
      <c r="E180" s="1"/>
      <c r="F180" s="1"/>
      <c r="G180" s="1">
        <v>6.5</v>
      </c>
      <c r="H180" s="1">
        <v>39</v>
      </c>
      <c r="I180" s="5">
        <f t="shared" si="8"/>
        <v>69249.210526315786</v>
      </c>
      <c r="J180" s="1"/>
      <c r="K180" s="1" t="s">
        <v>25</v>
      </c>
      <c r="L180" s="1"/>
      <c r="M180" s="4">
        <f t="shared" si="9"/>
        <v>69249.210526315786</v>
      </c>
      <c r="N180" s="2">
        <v>549</v>
      </c>
    </row>
    <row r="181" spans="1:14" x14ac:dyDescent="0.4">
      <c r="A181" s="1">
        <v>100180</v>
      </c>
      <c r="B181" s="1"/>
      <c r="C181" s="1"/>
      <c r="D181" s="1"/>
      <c r="E181" s="1"/>
      <c r="F181" s="1"/>
      <c r="G181" s="1">
        <v>7</v>
      </c>
      <c r="H181" s="1">
        <v>40</v>
      </c>
      <c r="I181" s="5">
        <f t="shared" si="8"/>
        <v>71641.315789473694</v>
      </c>
      <c r="J181" s="1"/>
      <c r="K181" s="1" t="s">
        <v>25</v>
      </c>
      <c r="L181" s="1"/>
      <c r="M181" s="4">
        <f t="shared" si="9"/>
        <v>71641.315789473694</v>
      </c>
      <c r="N181" s="2">
        <v>579</v>
      </c>
    </row>
    <row r="182" spans="1:14" x14ac:dyDescent="0.4">
      <c r="A182" s="1">
        <v>100181</v>
      </c>
      <c r="B182" s="1"/>
      <c r="C182" s="1"/>
      <c r="D182" s="1"/>
      <c r="E182" s="1"/>
      <c r="F182" s="1"/>
      <c r="G182" s="1">
        <v>7.5</v>
      </c>
      <c r="H182" s="1">
        <v>40.5</v>
      </c>
      <c r="I182" s="5">
        <f t="shared" si="8"/>
        <v>71641.315789473694</v>
      </c>
      <c r="J182" s="1"/>
      <c r="K182" s="1" t="s">
        <v>25</v>
      </c>
      <c r="L182" s="1"/>
      <c r="M182" s="4">
        <f t="shared" si="9"/>
        <v>71641.315789473694</v>
      </c>
      <c r="N182" s="2">
        <v>579</v>
      </c>
    </row>
    <row r="183" spans="1:14" x14ac:dyDescent="0.4">
      <c r="A183" s="1">
        <v>100182</v>
      </c>
      <c r="B183" s="1"/>
      <c r="C183" s="1"/>
      <c r="D183" s="1"/>
      <c r="E183" s="1"/>
      <c r="F183" s="1"/>
      <c r="G183" s="1">
        <v>8</v>
      </c>
      <c r="H183" s="1">
        <v>41</v>
      </c>
      <c r="I183" s="5">
        <f t="shared" si="8"/>
        <v>75628.15789473684</v>
      </c>
      <c r="J183" s="1"/>
      <c r="K183" s="1" t="s">
        <v>25</v>
      </c>
      <c r="L183" s="1"/>
      <c r="M183" s="4">
        <f t="shared" si="9"/>
        <v>75628.15789473684</v>
      </c>
      <c r="N183" s="2">
        <v>629</v>
      </c>
    </row>
    <row r="184" spans="1:14" x14ac:dyDescent="0.4">
      <c r="A184" s="1">
        <v>100183</v>
      </c>
      <c r="B184" s="1"/>
      <c r="C184" s="1"/>
      <c r="D184" s="1"/>
      <c r="E184" s="1"/>
      <c r="F184" s="1"/>
      <c r="G184" s="1">
        <v>8.5</v>
      </c>
      <c r="H184" s="1">
        <v>42</v>
      </c>
      <c r="I184" s="5">
        <f t="shared" si="8"/>
        <v>77222.894736842107</v>
      </c>
      <c r="J184" s="1"/>
      <c r="K184" s="1" t="s">
        <v>25</v>
      </c>
      <c r="L184" s="1"/>
      <c r="M184" s="4">
        <f t="shared" si="9"/>
        <v>77222.894736842107</v>
      </c>
      <c r="N184" s="2">
        <v>649</v>
      </c>
    </row>
    <row r="185" spans="1:14" x14ac:dyDescent="0.4">
      <c r="A185" s="1">
        <v>100184</v>
      </c>
      <c r="B185" s="1"/>
      <c r="C185" s="1"/>
      <c r="D185" s="1"/>
      <c r="E185" s="1"/>
      <c r="F185" s="1"/>
      <c r="G185" s="1">
        <v>9</v>
      </c>
      <c r="H185" s="1">
        <v>42.5</v>
      </c>
      <c r="I185" s="5">
        <f t="shared" si="8"/>
        <v>76425.526315789481</v>
      </c>
      <c r="J185" s="1"/>
      <c r="K185" s="1" t="s">
        <v>25</v>
      </c>
      <c r="L185" s="1"/>
      <c r="M185" s="4">
        <f t="shared" si="9"/>
        <v>76425.526315789481</v>
      </c>
      <c r="N185" s="2">
        <v>639</v>
      </c>
    </row>
    <row r="186" spans="1:14" x14ac:dyDescent="0.4">
      <c r="A186" s="1">
        <v>100185</v>
      </c>
      <c r="B186" s="1"/>
      <c r="C186" s="1"/>
      <c r="D186" s="1"/>
      <c r="E186" s="1"/>
      <c r="F186" s="1"/>
      <c r="G186" s="1">
        <v>9.5</v>
      </c>
      <c r="H186" s="1">
        <v>43</v>
      </c>
      <c r="I186" s="5">
        <f t="shared" si="8"/>
        <v>77222.894736842107</v>
      </c>
      <c r="J186" s="1"/>
      <c r="K186" s="1" t="s">
        <v>25</v>
      </c>
      <c r="L186" s="1"/>
      <c r="M186" s="4">
        <f t="shared" si="9"/>
        <v>77222.894736842107</v>
      </c>
      <c r="N186" s="2">
        <v>649</v>
      </c>
    </row>
    <row r="187" spans="1:14" x14ac:dyDescent="0.4">
      <c r="A187" s="1">
        <v>100186</v>
      </c>
      <c r="B187" s="1"/>
      <c r="C187" s="1"/>
      <c r="D187" s="1"/>
      <c r="E187" s="1"/>
      <c r="F187" s="1"/>
      <c r="G187" s="1">
        <v>10</v>
      </c>
      <c r="H187" s="1">
        <v>44</v>
      </c>
      <c r="I187" s="5">
        <f t="shared" si="8"/>
        <v>74033.421052631587</v>
      </c>
      <c r="J187" s="1"/>
      <c r="K187" s="1" t="s">
        <v>25</v>
      </c>
      <c r="L187" s="1"/>
      <c r="M187" s="4">
        <f t="shared" si="9"/>
        <v>74033.421052631587</v>
      </c>
      <c r="N187" s="2">
        <v>609</v>
      </c>
    </row>
    <row r="188" spans="1:14" x14ac:dyDescent="0.4">
      <c r="A188" s="1">
        <v>100187</v>
      </c>
      <c r="B188" s="1"/>
      <c r="C188" s="1"/>
      <c r="D188" s="1"/>
      <c r="E188" s="1"/>
      <c r="F188" s="1"/>
      <c r="G188" s="1">
        <v>10.5</v>
      </c>
      <c r="H188" s="1">
        <v>44.5</v>
      </c>
      <c r="I188" s="5">
        <f t="shared" si="8"/>
        <v>74033.421052631587</v>
      </c>
      <c r="J188" s="1"/>
      <c r="K188" s="1" t="s">
        <v>25</v>
      </c>
      <c r="L188" s="1"/>
      <c r="M188" s="4">
        <f t="shared" si="9"/>
        <v>74033.421052631587</v>
      </c>
      <c r="N188" s="2">
        <v>609</v>
      </c>
    </row>
    <row r="189" spans="1:14" ht="189.45" x14ac:dyDescent="0.4">
      <c r="A189" s="1">
        <v>100188</v>
      </c>
      <c r="B189" s="1"/>
      <c r="C189" s="1"/>
      <c r="D189" s="1" t="s">
        <v>38</v>
      </c>
      <c r="E189" s="1" t="s">
        <v>43</v>
      </c>
      <c r="F189" s="1" t="s">
        <v>85</v>
      </c>
      <c r="G189" s="1">
        <v>3.5</v>
      </c>
      <c r="H189" s="1">
        <v>35.5</v>
      </c>
      <c r="I189" s="5">
        <f t="shared" si="8"/>
        <v>86791.315789473694</v>
      </c>
      <c r="J189" s="1"/>
      <c r="K189" s="1" t="s">
        <v>25</v>
      </c>
      <c r="L189" s="9" t="s">
        <v>84</v>
      </c>
      <c r="M189" s="4">
        <f t="shared" si="9"/>
        <v>86791.315789473694</v>
      </c>
      <c r="N189" s="2">
        <v>769</v>
      </c>
    </row>
    <row r="190" spans="1:14" x14ac:dyDescent="0.4">
      <c r="A190" s="1">
        <v>100189</v>
      </c>
      <c r="B190" s="1"/>
      <c r="C190" s="1"/>
      <c r="D190" s="1"/>
      <c r="E190" s="1"/>
      <c r="F190" s="1"/>
      <c r="G190" s="1">
        <v>4</v>
      </c>
      <c r="H190" s="1">
        <v>36</v>
      </c>
      <c r="I190" s="5">
        <f t="shared" si="8"/>
        <v>73236.052631578947</v>
      </c>
      <c r="J190" s="1"/>
      <c r="K190" s="1" t="s">
        <v>25</v>
      </c>
      <c r="L190" s="1"/>
      <c r="M190" s="4">
        <f t="shared" si="9"/>
        <v>73236.052631578947</v>
      </c>
      <c r="N190" s="2">
        <v>599</v>
      </c>
    </row>
    <row r="191" spans="1:14" x14ac:dyDescent="0.4">
      <c r="A191" s="1">
        <v>100190</v>
      </c>
      <c r="B191" s="1"/>
      <c r="C191" s="1"/>
      <c r="D191" s="1"/>
      <c r="E191" s="1"/>
      <c r="F191" s="1"/>
      <c r="G191" s="1">
        <v>4.5</v>
      </c>
      <c r="H191" s="1">
        <v>36.5</v>
      </c>
      <c r="I191" s="5">
        <f t="shared" si="8"/>
        <v>66857.105263157893</v>
      </c>
      <c r="J191" s="1"/>
      <c r="K191" s="1" t="s">
        <v>25</v>
      </c>
      <c r="L191" s="1"/>
      <c r="M191" s="4">
        <f t="shared" si="9"/>
        <v>66857.105263157893</v>
      </c>
      <c r="N191" s="2">
        <v>519</v>
      </c>
    </row>
    <row r="192" spans="1:14" x14ac:dyDescent="0.4">
      <c r="A192" s="1">
        <v>100191</v>
      </c>
      <c r="B192" s="1"/>
      <c r="C192" s="1"/>
      <c r="D192" s="1"/>
      <c r="E192" s="1"/>
      <c r="F192" s="1"/>
      <c r="G192" s="1">
        <v>5</v>
      </c>
      <c r="H192" s="1">
        <v>37.5</v>
      </c>
      <c r="I192" s="5">
        <f t="shared" si="8"/>
        <v>66857.105263157893</v>
      </c>
      <c r="J192" s="1"/>
      <c r="K192" s="1" t="s">
        <v>25</v>
      </c>
      <c r="L192" s="1"/>
      <c r="M192" s="4">
        <f t="shared" si="9"/>
        <v>66857.105263157893</v>
      </c>
      <c r="N192" s="2">
        <v>519</v>
      </c>
    </row>
    <row r="193" spans="1:14" x14ac:dyDescent="0.4">
      <c r="A193" s="1">
        <v>100192</v>
      </c>
      <c r="B193" s="1"/>
      <c r="C193" s="1"/>
      <c r="D193" s="1"/>
      <c r="E193" s="1"/>
      <c r="F193" s="1"/>
      <c r="G193" s="1">
        <v>5.5</v>
      </c>
      <c r="H193" s="1">
        <v>38</v>
      </c>
      <c r="I193" s="5">
        <f t="shared" si="8"/>
        <v>66857.105263157893</v>
      </c>
      <c r="J193" s="1"/>
      <c r="K193" s="1" t="s">
        <v>25</v>
      </c>
      <c r="L193" s="1"/>
      <c r="M193" s="4">
        <f t="shared" si="9"/>
        <v>66857.105263157893</v>
      </c>
      <c r="N193" s="2">
        <v>519</v>
      </c>
    </row>
    <row r="194" spans="1:14" x14ac:dyDescent="0.4">
      <c r="A194" s="1">
        <v>100193</v>
      </c>
      <c r="B194" s="1"/>
      <c r="C194" s="1"/>
      <c r="D194" s="1"/>
      <c r="E194" s="1"/>
      <c r="F194" s="1"/>
      <c r="G194" s="1">
        <v>6</v>
      </c>
      <c r="H194" s="1">
        <v>38.5</v>
      </c>
      <c r="I194" s="5">
        <f t="shared" si="8"/>
        <v>67654.473684210534</v>
      </c>
      <c r="J194" s="1"/>
      <c r="K194" s="1" t="s">
        <v>25</v>
      </c>
      <c r="L194" s="1"/>
      <c r="M194" s="4">
        <f t="shared" si="9"/>
        <v>67654.473684210534</v>
      </c>
      <c r="N194" s="2">
        <v>529</v>
      </c>
    </row>
    <row r="195" spans="1:14" x14ac:dyDescent="0.4">
      <c r="A195" s="1">
        <v>100194</v>
      </c>
      <c r="B195" s="1"/>
      <c r="C195" s="1"/>
      <c r="D195" s="1"/>
      <c r="E195" s="1"/>
      <c r="F195" s="1"/>
      <c r="G195" s="1">
        <v>6.5</v>
      </c>
      <c r="H195" s="1">
        <v>39</v>
      </c>
      <c r="I195" s="5">
        <f t="shared" si="8"/>
        <v>73236.052631578947</v>
      </c>
      <c r="J195" s="1"/>
      <c r="K195" s="1" t="s">
        <v>25</v>
      </c>
      <c r="L195" s="1"/>
      <c r="M195" s="4">
        <f t="shared" si="9"/>
        <v>73236.052631578947</v>
      </c>
      <c r="N195" s="2">
        <v>599</v>
      </c>
    </row>
    <row r="196" spans="1:14" x14ac:dyDescent="0.4">
      <c r="A196" s="1">
        <v>100195</v>
      </c>
      <c r="B196" s="1"/>
      <c r="C196" s="1"/>
      <c r="D196" s="1"/>
      <c r="E196" s="1"/>
      <c r="F196" s="1"/>
      <c r="G196" s="1">
        <v>7</v>
      </c>
      <c r="H196" s="1">
        <v>40</v>
      </c>
      <c r="I196" s="5">
        <f t="shared" si="8"/>
        <v>71641.315789473694</v>
      </c>
      <c r="J196" s="1"/>
      <c r="K196" s="1" t="s">
        <v>25</v>
      </c>
      <c r="L196" s="1"/>
      <c r="M196" s="4">
        <f t="shared" si="9"/>
        <v>71641.315789473694</v>
      </c>
      <c r="N196" s="2">
        <v>579</v>
      </c>
    </row>
    <row r="197" spans="1:14" x14ac:dyDescent="0.4">
      <c r="A197" s="1">
        <v>100196</v>
      </c>
      <c r="B197" s="1"/>
      <c r="C197" s="1"/>
      <c r="D197" s="1"/>
      <c r="E197" s="1"/>
      <c r="F197" s="1"/>
      <c r="G197" s="1">
        <v>7.5</v>
      </c>
      <c r="H197" s="1">
        <v>40.5</v>
      </c>
      <c r="I197" s="5">
        <f t="shared" si="8"/>
        <v>72438.68421052632</v>
      </c>
      <c r="J197" s="1"/>
      <c r="K197" s="1" t="s">
        <v>25</v>
      </c>
      <c r="L197" s="1"/>
      <c r="M197" s="4">
        <f t="shared" si="9"/>
        <v>72438.68421052632</v>
      </c>
      <c r="N197" s="2">
        <v>589</v>
      </c>
    </row>
    <row r="198" spans="1:14" x14ac:dyDescent="0.4">
      <c r="A198" s="1">
        <v>100197</v>
      </c>
      <c r="B198" s="1"/>
      <c r="C198" s="1"/>
      <c r="D198" s="1"/>
      <c r="E198" s="1"/>
      <c r="F198" s="1"/>
      <c r="G198" s="1">
        <v>8</v>
      </c>
      <c r="H198" s="1">
        <v>41</v>
      </c>
      <c r="I198" s="5">
        <f t="shared" si="8"/>
        <v>74830.789473684214</v>
      </c>
      <c r="J198" s="1"/>
      <c r="K198" s="1" t="s">
        <v>25</v>
      </c>
      <c r="L198" s="1"/>
      <c r="M198" s="4">
        <f t="shared" si="9"/>
        <v>74830.789473684214</v>
      </c>
      <c r="N198" s="2">
        <v>619</v>
      </c>
    </row>
    <row r="199" spans="1:14" x14ac:dyDescent="0.4">
      <c r="A199" s="1">
        <v>100198</v>
      </c>
      <c r="B199" s="1"/>
      <c r="C199" s="1"/>
      <c r="D199" s="1"/>
      <c r="E199" s="1"/>
      <c r="F199" s="1"/>
      <c r="G199" s="1">
        <v>8.5</v>
      </c>
      <c r="H199" s="1">
        <v>42</v>
      </c>
      <c r="I199" s="5">
        <f t="shared" si="8"/>
        <v>74033.421052631587</v>
      </c>
      <c r="J199" s="1"/>
      <c r="K199" s="1" t="s">
        <v>25</v>
      </c>
      <c r="L199" s="1"/>
      <c r="M199" s="4">
        <f t="shared" si="9"/>
        <v>74033.421052631587</v>
      </c>
      <c r="N199" s="2">
        <v>609</v>
      </c>
    </row>
    <row r="200" spans="1:14" x14ac:dyDescent="0.4">
      <c r="A200" s="1">
        <v>100199</v>
      </c>
      <c r="B200" s="1"/>
      <c r="C200" s="1"/>
      <c r="D200" s="1"/>
      <c r="E200" s="1"/>
      <c r="F200" s="1"/>
      <c r="G200" s="1">
        <v>9</v>
      </c>
      <c r="H200" s="1">
        <v>42.5</v>
      </c>
      <c r="I200" s="5">
        <f t="shared" si="8"/>
        <v>74830.789473684214</v>
      </c>
      <c r="J200" s="1"/>
      <c r="K200" s="1" t="s">
        <v>25</v>
      </c>
      <c r="L200" s="1"/>
      <c r="M200" s="4">
        <f t="shared" si="9"/>
        <v>74830.789473684214</v>
      </c>
      <c r="N200" s="2">
        <v>619</v>
      </c>
    </row>
    <row r="201" spans="1:14" x14ac:dyDescent="0.4">
      <c r="A201" s="1">
        <v>100200</v>
      </c>
      <c r="B201" s="1"/>
      <c r="C201" s="1"/>
      <c r="D201" s="1"/>
      <c r="E201" s="1"/>
      <c r="F201" s="1"/>
      <c r="G201" s="1">
        <v>9.5</v>
      </c>
      <c r="H201" s="1">
        <v>43</v>
      </c>
      <c r="I201" s="5">
        <f t="shared" si="8"/>
        <v>77222.894736842107</v>
      </c>
      <c r="J201" s="1"/>
      <c r="K201" s="1" t="s">
        <v>25</v>
      </c>
      <c r="L201" s="1"/>
      <c r="M201" s="4">
        <f t="shared" si="9"/>
        <v>77222.894736842107</v>
      </c>
      <c r="N201" s="2">
        <v>649</v>
      </c>
    </row>
    <row r="202" spans="1:14" x14ac:dyDescent="0.4">
      <c r="A202" s="1">
        <v>100201</v>
      </c>
      <c r="B202" s="1"/>
      <c r="C202" s="1"/>
      <c r="D202" s="1"/>
      <c r="E202" s="1"/>
      <c r="F202" s="1"/>
      <c r="G202" s="1">
        <v>10</v>
      </c>
      <c r="H202" s="1">
        <v>44</v>
      </c>
      <c r="I202" s="5">
        <f t="shared" ref="I202:I256" si="10">M202</f>
        <v>72438.68421052632</v>
      </c>
      <c r="J202" s="1"/>
      <c r="K202" s="1" t="s">
        <v>25</v>
      </c>
      <c r="L202" s="1"/>
      <c r="M202" s="4">
        <f t="shared" si="9"/>
        <v>72438.68421052632</v>
      </c>
      <c r="N202" s="2">
        <v>589</v>
      </c>
    </row>
    <row r="203" spans="1:14" x14ac:dyDescent="0.4">
      <c r="A203" s="1">
        <v>100202</v>
      </c>
      <c r="B203" s="1"/>
      <c r="C203" s="1"/>
      <c r="D203" s="1"/>
      <c r="E203" s="1"/>
      <c r="F203" s="1"/>
      <c r="G203" s="1">
        <v>10.5</v>
      </c>
      <c r="H203" s="1">
        <v>44.5</v>
      </c>
      <c r="I203" s="5">
        <f t="shared" si="10"/>
        <v>74033.421052631587</v>
      </c>
      <c r="J203" s="1"/>
      <c r="K203" s="1" t="s">
        <v>25</v>
      </c>
      <c r="L203" s="1"/>
      <c r="M203" s="4">
        <f t="shared" si="9"/>
        <v>74033.421052631587</v>
      </c>
      <c r="N203" s="2">
        <v>609</v>
      </c>
    </row>
    <row r="204" spans="1:14" ht="189.45" x14ac:dyDescent="0.4">
      <c r="A204" s="1">
        <v>100203</v>
      </c>
      <c r="B204" s="1"/>
      <c r="C204" s="1"/>
      <c r="D204" s="1" t="s">
        <v>38</v>
      </c>
      <c r="E204" s="1" t="s">
        <v>86</v>
      </c>
      <c r="F204" s="1" t="s">
        <v>87</v>
      </c>
      <c r="G204" s="1">
        <v>3.5</v>
      </c>
      <c r="H204" s="1">
        <v>35.5</v>
      </c>
      <c r="I204" s="5">
        <f t="shared" si="10"/>
        <v>62072.894736842107</v>
      </c>
      <c r="J204" s="1"/>
      <c r="K204" s="1" t="s">
        <v>25</v>
      </c>
      <c r="L204" s="9" t="s">
        <v>84</v>
      </c>
      <c r="M204" s="4">
        <f t="shared" si="9"/>
        <v>62072.894736842107</v>
      </c>
      <c r="N204" s="2">
        <v>459</v>
      </c>
    </row>
    <row r="205" spans="1:14" x14ac:dyDescent="0.4">
      <c r="A205" s="1">
        <v>100204</v>
      </c>
      <c r="B205" s="1"/>
      <c r="C205" s="1"/>
      <c r="D205" s="1"/>
      <c r="E205" s="1"/>
      <c r="F205" s="1"/>
      <c r="G205" s="1">
        <v>4</v>
      </c>
      <c r="H205" s="1">
        <v>36</v>
      </c>
      <c r="I205" s="5">
        <f t="shared" si="10"/>
        <v>74033.421052631587</v>
      </c>
      <c r="J205" s="1"/>
      <c r="K205" s="1" t="s">
        <v>25</v>
      </c>
      <c r="L205" s="1"/>
      <c r="M205" s="4">
        <f t="shared" si="9"/>
        <v>74033.421052631587</v>
      </c>
      <c r="N205" s="2">
        <v>609</v>
      </c>
    </row>
    <row r="206" spans="1:14" x14ac:dyDescent="0.4">
      <c r="A206" s="1">
        <v>100205</v>
      </c>
      <c r="B206" s="1"/>
      <c r="C206" s="1"/>
      <c r="D206" s="1"/>
      <c r="E206" s="1"/>
      <c r="F206" s="1"/>
      <c r="G206" s="1">
        <v>4.5</v>
      </c>
      <c r="H206" s="1">
        <v>36.5</v>
      </c>
      <c r="I206" s="5">
        <f t="shared" si="10"/>
        <v>74033.421052631587</v>
      </c>
      <c r="J206" s="1"/>
      <c r="K206" s="1" t="s">
        <v>25</v>
      </c>
      <c r="L206" s="1"/>
      <c r="M206" s="4">
        <f t="shared" si="9"/>
        <v>74033.421052631587</v>
      </c>
      <c r="N206" s="2">
        <v>609</v>
      </c>
    </row>
    <row r="207" spans="1:14" x14ac:dyDescent="0.4">
      <c r="A207" s="1">
        <v>100206</v>
      </c>
      <c r="B207" s="1"/>
      <c r="C207" s="1"/>
      <c r="D207" s="1"/>
      <c r="E207" s="1"/>
      <c r="F207" s="1"/>
      <c r="G207" s="1">
        <v>5</v>
      </c>
      <c r="H207" s="1">
        <v>37.5</v>
      </c>
      <c r="I207" s="5">
        <f t="shared" si="10"/>
        <v>74033.421052631587</v>
      </c>
      <c r="J207" s="1"/>
      <c r="K207" s="1" t="s">
        <v>25</v>
      </c>
      <c r="L207" s="1"/>
      <c r="M207" s="4">
        <f t="shared" si="9"/>
        <v>74033.421052631587</v>
      </c>
      <c r="N207" s="2">
        <v>609</v>
      </c>
    </row>
    <row r="208" spans="1:14" x14ac:dyDescent="0.4">
      <c r="A208" s="1">
        <v>100207</v>
      </c>
      <c r="B208" s="1"/>
      <c r="C208" s="1"/>
      <c r="D208" s="1"/>
      <c r="E208" s="1"/>
      <c r="F208" s="1"/>
      <c r="G208" s="1">
        <v>5.5</v>
      </c>
      <c r="H208" s="1">
        <v>38</v>
      </c>
      <c r="I208" s="5">
        <f t="shared" si="10"/>
        <v>74033.421052631587</v>
      </c>
      <c r="J208" s="1"/>
      <c r="K208" s="1" t="s">
        <v>25</v>
      </c>
      <c r="L208" s="1"/>
      <c r="M208" s="4">
        <f t="shared" si="9"/>
        <v>74033.421052631587</v>
      </c>
      <c r="N208" s="2">
        <v>609</v>
      </c>
    </row>
    <row r="209" spans="1:14" x14ac:dyDescent="0.4">
      <c r="A209" s="1">
        <v>100208</v>
      </c>
      <c r="B209" s="1"/>
      <c r="C209" s="1"/>
      <c r="D209" s="1"/>
      <c r="E209" s="1"/>
      <c r="F209" s="1"/>
      <c r="G209" s="1">
        <v>6</v>
      </c>
      <c r="H209" s="1">
        <v>38.5</v>
      </c>
      <c r="I209" s="5">
        <f t="shared" si="10"/>
        <v>74033.421052631587</v>
      </c>
      <c r="J209" s="1"/>
      <c r="K209" s="1" t="s">
        <v>25</v>
      </c>
      <c r="L209" s="1"/>
      <c r="M209" s="4">
        <f t="shared" si="9"/>
        <v>74033.421052631587</v>
      </c>
      <c r="N209" s="2">
        <v>609</v>
      </c>
    </row>
    <row r="210" spans="1:14" x14ac:dyDescent="0.4">
      <c r="A210" s="1">
        <v>100209</v>
      </c>
      <c r="B210" s="1"/>
      <c r="C210" s="1"/>
      <c r="D210" s="1"/>
      <c r="E210" s="1"/>
      <c r="F210" s="1"/>
      <c r="G210" s="1">
        <v>6.5</v>
      </c>
      <c r="H210" s="1">
        <v>39</v>
      </c>
      <c r="I210" s="5">
        <f t="shared" si="10"/>
        <v>74033.421052631587</v>
      </c>
      <c r="J210" s="1"/>
      <c r="K210" s="1" t="s">
        <v>25</v>
      </c>
      <c r="L210" s="1"/>
      <c r="M210" s="4">
        <f t="shared" si="9"/>
        <v>74033.421052631587</v>
      </c>
      <c r="N210" s="2">
        <v>609</v>
      </c>
    </row>
    <row r="211" spans="1:14" x14ac:dyDescent="0.4">
      <c r="A211" s="1">
        <v>100210</v>
      </c>
      <c r="B211" s="1"/>
      <c r="C211" s="1"/>
      <c r="D211" s="1"/>
      <c r="E211" s="1"/>
      <c r="F211" s="1"/>
      <c r="G211" s="1">
        <v>7</v>
      </c>
      <c r="H211" s="1">
        <v>40</v>
      </c>
      <c r="I211" s="5">
        <f t="shared" si="10"/>
        <v>74033.421052631587</v>
      </c>
      <c r="J211" s="1"/>
      <c r="K211" s="1" t="s">
        <v>25</v>
      </c>
      <c r="L211" s="1"/>
      <c r="M211" s="4">
        <f t="shared" si="9"/>
        <v>74033.421052631587</v>
      </c>
      <c r="N211" s="2">
        <v>609</v>
      </c>
    </row>
    <row r="212" spans="1:14" x14ac:dyDescent="0.4">
      <c r="A212" s="1">
        <v>100211</v>
      </c>
      <c r="B212" s="1"/>
      <c r="C212" s="1"/>
      <c r="D212" s="1"/>
      <c r="E212" s="1"/>
      <c r="F212" s="1"/>
      <c r="G212" s="1">
        <v>7.5</v>
      </c>
      <c r="H212" s="1">
        <v>40.5</v>
      </c>
      <c r="I212" s="5">
        <f t="shared" si="10"/>
        <v>74033.421052631587</v>
      </c>
      <c r="J212" s="1"/>
      <c r="K212" s="1" t="s">
        <v>25</v>
      </c>
      <c r="L212" s="1"/>
      <c r="M212" s="4">
        <f t="shared" si="9"/>
        <v>74033.421052631587</v>
      </c>
      <c r="N212" s="2">
        <v>609</v>
      </c>
    </row>
    <row r="213" spans="1:14" x14ac:dyDescent="0.4">
      <c r="A213" s="1">
        <v>100212</v>
      </c>
      <c r="B213" s="1"/>
      <c r="C213" s="1"/>
      <c r="D213" s="1"/>
      <c r="E213" s="1"/>
      <c r="F213" s="1"/>
      <c r="G213" s="1">
        <v>8</v>
      </c>
      <c r="H213" s="1">
        <v>41</v>
      </c>
      <c r="I213" s="5">
        <f t="shared" si="10"/>
        <v>74033.421052631587</v>
      </c>
      <c r="J213" s="1"/>
      <c r="K213" s="1" t="s">
        <v>25</v>
      </c>
      <c r="L213" s="1"/>
      <c r="M213" s="4">
        <f t="shared" si="9"/>
        <v>74033.421052631587</v>
      </c>
      <c r="N213" s="2">
        <v>609</v>
      </c>
    </row>
    <row r="214" spans="1:14" x14ac:dyDescent="0.4">
      <c r="A214" s="1">
        <v>100213</v>
      </c>
      <c r="B214" s="1"/>
      <c r="C214" s="1"/>
      <c r="D214" s="1"/>
      <c r="E214" s="1"/>
      <c r="F214" s="1"/>
      <c r="G214" s="1">
        <v>8.5</v>
      </c>
      <c r="H214" s="1">
        <v>42</v>
      </c>
      <c r="I214" s="5">
        <f t="shared" si="10"/>
        <v>74033.421052631587</v>
      </c>
      <c r="J214" s="1"/>
      <c r="K214" s="1" t="s">
        <v>25</v>
      </c>
      <c r="L214" s="1"/>
      <c r="M214" s="4">
        <f t="shared" si="9"/>
        <v>74033.421052631587</v>
      </c>
      <c r="N214" s="2">
        <v>609</v>
      </c>
    </row>
    <row r="215" spans="1:14" x14ac:dyDescent="0.4">
      <c r="A215" s="1">
        <v>100214</v>
      </c>
      <c r="B215" s="1"/>
      <c r="C215" s="1"/>
      <c r="D215" s="1"/>
      <c r="E215" s="1"/>
      <c r="F215" s="1"/>
      <c r="G215" s="1">
        <v>9</v>
      </c>
      <c r="H215" s="1">
        <v>42.5</v>
      </c>
      <c r="I215" s="5">
        <f t="shared" si="10"/>
        <v>74033.421052631587</v>
      </c>
      <c r="J215" s="1"/>
      <c r="K215" s="1" t="s">
        <v>25</v>
      </c>
      <c r="L215" s="1"/>
      <c r="M215" s="4">
        <f t="shared" si="9"/>
        <v>74033.421052631587</v>
      </c>
      <c r="N215" s="2">
        <v>609</v>
      </c>
    </row>
    <row r="216" spans="1:14" x14ac:dyDescent="0.4">
      <c r="A216" s="1">
        <v>100215</v>
      </c>
      <c r="B216" s="1"/>
      <c r="C216" s="1"/>
      <c r="D216" s="1"/>
      <c r="E216" s="1"/>
      <c r="F216" s="1"/>
      <c r="G216" s="1">
        <v>9.5</v>
      </c>
      <c r="H216" s="1">
        <v>43</v>
      </c>
      <c r="I216" s="5">
        <f t="shared" si="10"/>
        <v>74033.421052631587</v>
      </c>
      <c r="J216" s="1"/>
      <c r="K216" s="1" t="s">
        <v>25</v>
      </c>
      <c r="L216" s="1"/>
      <c r="M216" s="4">
        <f t="shared" si="9"/>
        <v>74033.421052631587</v>
      </c>
      <c r="N216" s="2">
        <v>609</v>
      </c>
    </row>
    <row r="217" spans="1:14" x14ac:dyDescent="0.4">
      <c r="A217" s="1">
        <v>100216</v>
      </c>
      <c r="B217" s="1"/>
      <c r="C217" s="1"/>
      <c r="D217" s="1"/>
      <c r="E217" s="1"/>
      <c r="F217" s="1"/>
      <c r="G217" s="1">
        <v>10</v>
      </c>
      <c r="H217" s="1">
        <v>44</v>
      </c>
      <c r="I217" s="5">
        <f t="shared" si="10"/>
        <v>74033.421052631587</v>
      </c>
      <c r="J217" s="1"/>
      <c r="K217" s="1" t="s">
        <v>25</v>
      </c>
      <c r="L217" s="1"/>
      <c r="M217" s="4">
        <f t="shared" si="9"/>
        <v>74033.421052631587</v>
      </c>
      <c r="N217" s="2">
        <v>609</v>
      </c>
    </row>
    <row r="218" spans="1:14" x14ac:dyDescent="0.4">
      <c r="A218" s="1">
        <v>100217</v>
      </c>
      <c r="B218" s="1"/>
      <c r="C218" s="1"/>
      <c r="D218" s="1"/>
      <c r="E218" s="1"/>
      <c r="F218" s="1"/>
      <c r="G218" s="1">
        <v>10.5</v>
      </c>
      <c r="H218" s="1">
        <v>44.5</v>
      </c>
      <c r="I218" s="5">
        <f t="shared" si="10"/>
        <v>74033.421052631587</v>
      </c>
      <c r="J218" s="1"/>
      <c r="K218" s="1" t="s">
        <v>25</v>
      </c>
      <c r="L218" s="1"/>
      <c r="M218" s="4">
        <f t="shared" si="9"/>
        <v>74033.421052631587</v>
      </c>
      <c r="N218" s="2">
        <v>609</v>
      </c>
    </row>
    <row r="219" spans="1:14" ht="160.30000000000001" x14ac:dyDescent="0.4">
      <c r="A219" s="1">
        <v>100218</v>
      </c>
      <c r="B219" s="1"/>
      <c r="C219" s="1" t="s">
        <v>90</v>
      </c>
      <c r="D219" s="1" t="s">
        <v>38</v>
      </c>
      <c r="E219" s="1" t="s">
        <v>62</v>
      </c>
      <c r="F219" s="1" t="s">
        <v>88</v>
      </c>
      <c r="G219" s="1">
        <v>3.5</v>
      </c>
      <c r="H219" s="1">
        <v>35.5</v>
      </c>
      <c r="I219" s="5">
        <f t="shared" si="10"/>
        <v>88386.052631578947</v>
      </c>
      <c r="J219" s="1"/>
      <c r="K219" s="1" t="s">
        <v>25</v>
      </c>
      <c r="L219" s="9" t="s">
        <v>89</v>
      </c>
      <c r="M219" s="4">
        <f t="shared" si="9"/>
        <v>88386.052631578947</v>
      </c>
      <c r="N219" s="2">
        <v>789</v>
      </c>
    </row>
    <row r="220" spans="1:14" x14ac:dyDescent="0.4">
      <c r="A220" s="1">
        <v>100219</v>
      </c>
      <c r="B220" s="1"/>
      <c r="C220" s="1"/>
      <c r="D220" s="1"/>
      <c r="E220" s="1"/>
      <c r="F220" s="1"/>
      <c r="G220" s="1">
        <v>4</v>
      </c>
      <c r="H220" s="1">
        <v>36</v>
      </c>
      <c r="I220" s="5">
        <f t="shared" si="10"/>
        <v>60478.157894736847</v>
      </c>
      <c r="J220" s="1"/>
      <c r="K220" s="1" t="s">
        <v>25</v>
      </c>
      <c r="L220" s="1"/>
      <c r="M220" s="4">
        <f t="shared" si="9"/>
        <v>60478.157894736847</v>
      </c>
      <c r="N220" s="2">
        <v>439</v>
      </c>
    </row>
    <row r="221" spans="1:14" x14ac:dyDescent="0.4">
      <c r="A221" s="1">
        <v>100220</v>
      </c>
      <c r="B221" s="1"/>
      <c r="C221" s="1"/>
      <c r="D221" s="1"/>
      <c r="E221" s="1"/>
      <c r="F221" s="1"/>
      <c r="G221" s="1">
        <v>4.5</v>
      </c>
      <c r="H221" s="1">
        <v>36.5</v>
      </c>
      <c r="I221" s="5">
        <f t="shared" si="10"/>
        <v>66059.736842105267</v>
      </c>
      <c r="J221" s="1"/>
      <c r="K221" s="1" t="s">
        <v>25</v>
      </c>
      <c r="L221" s="1"/>
      <c r="M221" s="4">
        <f t="shared" si="9"/>
        <v>66059.736842105267</v>
      </c>
      <c r="N221" s="2">
        <v>509</v>
      </c>
    </row>
    <row r="222" spans="1:14" x14ac:dyDescent="0.4">
      <c r="A222" s="1">
        <v>100221</v>
      </c>
      <c r="B222" s="1"/>
      <c r="C222" s="1"/>
      <c r="D222" s="1"/>
      <c r="E222" s="1"/>
      <c r="F222" s="1"/>
      <c r="G222" s="1">
        <v>5</v>
      </c>
      <c r="H222" s="1">
        <v>37.5</v>
      </c>
      <c r="I222" s="5">
        <f t="shared" si="10"/>
        <v>65262.368421052633</v>
      </c>
      <c r="J222" s="1"/>
      <c r="K222" s="1" t="s">
        <v>25</v>
      </c>
      <c r="L222" s="1"/>
      <c r="M222" s="4">
        <f t="shared" si="9"/>
        <v>65262.368421052633</v>
      </c>
      <c r="N222" s="2">
        <v>499</v>
      </c>
    </row>
    <row r="223" spans="1:14" x14ac:dyDescent="0.4">
      <c r="A223" s="1">
        <v>100222</v>
      </c>
      <c r="B223" s="1"/>
      <c r="C223" s="1"/>
      <c r="D223" s="1"/>
      <c r="E223" s="1"/>
      <c r="F223" s="1"/>
      <c r="G223" s="1">
        <v>5.5</v>
      </c>
      <c r="H223" s="1">
        <v>38</v>
      </c>
      <c r="I223" s="5">
        <f t="shared" si="10"/>
        <v>67654.473684210534</v>
      </c>
      <c r="J223" s="1"/>
      <c r="K223" s="1" t="s">
        <v>25</v>
      </c>
      <c r="L223" s="1"/>
      <c r="M223" s="4">
        <f t="shared" ref="M223:M263" si="11">(N223*75+N223*75*0.01+15000+4200+5000)/0.95</f>
        <v>67654.473684210534</v>
      </c>
      <c r="N223" s="2">
        <v>529</v>
      </c>
    </row>
    <row r="224" spans="1:14" x14ac:dyDescent="0.4">
      <c r="A224" s="1">
        <v>100223</v>
      </c>
      <c r="B224" s="1"/>
      <c r="C224" s="1"/>
      <c r="D224" s="1"/>
      <c r="E224" s="1"/>
      <c r="F224" s="1"/>
      <c r="G224" s="1">
        <v>6</v>
      </c>
      <c r="H224" s="1">
        <v>38.5</v>
      </c>
      <c r="I224" s="5">
        <f t="shared" si="10"/>
        <v>78020.263157894748</v>
      </c>
      <c r="J224" s="1"/>
      <c r="K224" s="1" t="s">
        <v>25</v>
      </c>
      <c r="L224" s="1"/>
      <c r="M224" s="4">
        <f t="shared" si="11"/>
        <v>78020.263157894748</v>
      </c>
      <c r="N224" s="2">
        <v>659</v>
      </c>
    </row>
    <row r="225" spans="1:14" x14ac:dyDescent="0.4">
      <c r="A225" s="1">
        <v>100224</v>
      </c>
      <c r="B225" s="1"/>
      <c r="C225" s="1"/>
      <c r="D225" s="1"/>
      <c r="E225" s="1"/>
      <c r="F225" s="1"/>
      <c r="G225" s="1">
        <v>6.5</v>
      </c>
      <c r="H225" s="1">
        <v>39</v>
      </c>
      <c r="I225" s="5">
        <f t="shared" si="10"/>
        <v>89183.421052631587</v>
      </c>
      <c r="J225" s="1"/>
      <c r="K225" s="1" t="s">
        <v>25</v>
      </c>
      <c r="L225" s="1"/>
      <c r="M225" s="4">
        <f t="shared" si="11"/>
        <v>89183.421052631587</v>
      </c>
      <c r="N225" s="2">
        <v>799</v>
      </c>
    </row>
    <row r="226" spans="1:14" x14ac:dyDescent="0.4">
      <c r="A226" s="1">
        <v>100225</v>
      </c>
      <c r="B226" s="1"/>
      <c r="C226" s="1"/>
      <c r="D226" s="1"/>
      <c r="E226" s="1"/>
      <c r="F226" s="1"/>
      <c r="G226" s="1">
        <v>7</v>
      </c>
      <c r="H226" s="1">
        <v>40</v>
      </c>
      <c r="I226" s="5">
        <f t="shared" si="10"/>
        <v>112307.10526315789</v>
      </c>
      <c r="J226" s="1"/>
      <c r="K226" s="1" t="s">
        <v>25</v>
      </c>
      <c r="L226" s="1"/>
      <c r="M226" s="4">
        <f t="shared" si="11"/>
        <v>112307.10526315789</v>
      </c>
      <c r="N226" s="2">
        <v>1089</v>
      </c>
    </row>
    <row r="227" spans="1:14" x14ac:dyDescent="0.4">
      <c r="A227" s="1">
        <v>100226</v>
      </c>
      <c r="B227" s="1"/>
      <c r="C227" s="1"/>
      <c r="D227" s="1"/>
      <c r="E227" s="1"/>
      <c r="F227" s="1"/>
      <c r="G227" s="1">
        <v>7.5</v>
      </c>
      <c r="H227" s="1">
        <v>40.5</v>
      </c>
      <c r="I227" s="5">
        <f t="shared" si="10"/>
        <v>101143.94736842105</v>
      </c>
      <c r="J227" s="1"/>
      <c r="K227" s="1" t="s">
        <v>25</v>
      </c>
      <c r="L227" s="1"/>
      <c r="M227" s="4">
        <f t="shared" si="11"/>
        <v>101143.94736842105</v>
      </c>
      <c r="N227" s="2">
        <v>949</v>
      </c>
    </row>
    <row r="228" spans="1:14" x14ac:dyDescent="0.4">
      <c r="A228" s="1">
        <v>100227</v>
      </c>
      <c r="B228" s="1"/>
      <c r="C228" s="1"/>
      <c r="D228" s="1"/>
      <c r="E228" s="1"/>
      <c r="F228" s="1"/>
      <c r="G228" s="1">
        <v>8</v>
      </c>
      <c r="H228" s="1">
        <v>41</v>
      </c>
      <c r="I228" s="5">
        <f t="shared" si="10"/>
        <v>100346.57894736843</v>
      </c>
      <c r="J228" s="1"/>
      <c r="K228" s="1" t="s">
        <v>25</v>
      </c>
      <c r="L228" s="1"/>
      <c r="M228" s="4">
        <f t="shared" si="11"/>
        <v>100346.57894736843</v>
      </c>
      <c r="N228" s="2">
        <v>939</v>
      </c>
    </row>
    <row r="229" spans="1:14" x14ac:dyDescent="0.4">
      <c r="A229" s="1">
        <v>100228</v>
      </c>
      <c r="B229" s="1"/>
      <c r="C229" s="1"/>
      <c r="D229" s="1"/>
      <c r="E229" s="1"/>
      <c r="F229" s="1"/>
      <c r="G229" s="1">
        <v>8.5</v>
      </c>
      <c r="H229" s="1">
        <v>42</v>
      </c>
      <c r="I229" s="5">
        <f t="shared" si="10"/>
        <v>101143.94736842105</v>
      </c>
      <c r="J229" s="1"/>
      <c r="K229" s="1" t="s">
        <v>25</v>
      </c>
      <c r="L229" s="1"/>
      <c r="M229" s="4">
        <f t="shared" si="11"/>
        <v>101143.94736842105</v>
      </c>
      <c r="N229" s="2">
        <v>949</v>
      </c>
    </row>
    <row r="230" spans="1:14" x14ac:dyDescent="0.4">
      <c r="A230" s="1">
        <v>100229</v>
      </c>
      <c r="B230" s="1"/>
      <c r="C230" s="1"/>
      <c r="D230" s="1"/>
      <c r="E230" s="1"/>
      <c r="F230" s="1"/>
      <c r="G230" s="1">
        <v>9</v>
      </c>
      <c r="H230" s="1">
        <v>42.5</v>
      </c>
      <c r="I230" s="5">
        <f t="shared" si="10"/>
        <v>97954.473684210534</v>
      </c>
      <c r="J230" s="1"/>
      <c r="K230" s="1" t="s">
        <v>25</v>
      </c>
      <c r="L230" s="1"/>
      <c r="M230" s="4">
        <f t="shared" si="11"/>
        <v>97954.473684210534</v>
      </c>
      <c r="N230" s="2">
        <v>909</v>
      </c>
    </row>
    <row r="231" spans="1:14" x14ac:dyDescent="0.4">
      <c r="A231" s="1">
        <v>100230</v>
      </c>
      <c r="B231" s="1"/>
      <c r="C231" s="1"/>
      <c r="D231" s="1"/>
      <c r="E231" s="1"/>
      <c r="F231" s="1"/>
      <c r="G231" s="1">
        <v>9.5</v>
      </c>
      <c r="H231" s="1">
        <v>43</v>
      </c>
      <c r="I231" s="5">
        <f t="shared" si="10"/>
        <v>105130.78947368421</v>
      </c>
      <c r="J231" s="1"/>
      <c r="K231" s="1" t="s">
        <v>25</v>
      </c>
      <c r="L231" s="1"/>
      <c r="M231" s="4">
        <f t="shared" si="11"/>
        <v>105130.78947368421</v>
      </c>
      <c r="N231" s="2">
        <v>999</v>
      </c>
    </row>
    <row r="232" spans="1:14" x14ac:dyDescent="0.4">
      <c r="A232" s="1">
        <v>100231</v>
      </c>
      <c r="B232" s="1"/>
      <c r="C232" s="1"/>
      <c r="D232" s="1"/>
      <c r="E232" s="1"/>
      <c r="F232" s="1"/>
      <c r="G232" s="1">
        <v>10</v>
      </c>
      <c r="H232" s="1">
        <v>44</v>
      </c>
      <c r="I232" s="5">
        <f t="shared" si="10"/>
        <v>88386.052631578947</v>
      </c>
      <c r="J232" s="1"/>
      <c r="K232" s="1" t="s">
        <v>25</v>
      </c>
      <c r="L232" s="1"/>
      <c r="M232" s="4">
        <f t="shared" si="11"/>
        <v>88386.052631578947</v>
      </c>
      <c r="N232" s="2">
        <v>789</v>
      </c>
    </row>
    <row r="233" spans="1:14" x14ac:dyDescent="0.4">
      <c r="A233" s="1">
        <v>100232</v>
      </c>
      <c r="B233" s="1"/>
      <c r="C233" s="1"/>
      <c r="D233" s="1"/>
      <c r="E233" s="1"/>
      <c r="F233" s="1"/>
      <c r="G233" s="1">
        <v>10.5</v>
      </c>
      <c r="H233" s="1">
        <v>44.5</v>
      </c>
      <c r="I233" s="5">
        <f t="shared" si="10"/>
        <v>89980.789473684214</v>
      </c>
      <c r="J233" s="1"/>
      <c r="K233" s="1" t="s">
        <v>25</v>
      </c>
      <c r="L233" s="1"/>
      <c r="M233" s="4">
        <f t="shared" si="11"/>
        <v>89980.789473684214</v>
      </c>
      <c r="N233" s="2">
        <v>809</v>
      </c>
    </row>
    <row r="234" spans="1:14" ht="160.30000000000001" x14ac:dyDescent="0.4">
      <c r="A234" s="1">
        <v>100233</v>
      </c>
      <c r="B234" s="1"/>
      <c r="C234" s="1"/>
      <c r="D234" s="1"/>
      <c r="E234" s="1" t="s">
        <v>30</v>
      </c>
      <c r="F234" s="1" t="s">
        <v>91</v>
      </c>
      <c r="G234" s="1">
        <v>3.5</v>
      </c>
      <c r="H234" s="1">
        <v>35.5</v>
      </c>
      <c r="I234" s="5">
        <f t="shared" si="10"/>
        <v>73236.052631578947</v>
      </c>
      <c r="J234" s="1"/>
      <c r="K234" s="1" t="s">
        <v>32</v>
      </c>
      <c r="L234" s="9" t="s">
        <v>89</v>
      </c>
      <c r="M234" s="4">
        <f t="shared" si="11"/>
        <v>73236.052631578947</v>
      </c>
      <c r="N234" s="2">
        <v>599</v>
      </c>
    </row>
    <row r="235" spans="1:14" x14ac:dyDescent="0.4">
      <c r="A235" s="1">
        <v>100234</v>
      </c>
      <c r="B235" s="1"/>
      <c r="C235" s="1"/>
      <c r="D235" s="1"/>
      <c r="E235" s="1"/>
      <c r="F235" s="1"/>
      <c r="G235" s="1">
        <v>4</v>
      </c>
      <c r="H235" s="1">
        <v>36</v>
      </c>
      <c r="I235" s="5">
        <f t="shared" si="10"/>
        <v>73236.052631578947</v>
      </c>
      <c r="J235" s="1"/>
      <c r="K235" s="1" t="s">
        <v>25</v>
      </c>
      <c r="L235" s="1"/>
      <c r="M235" s="4">
        <f t="shared" si="11"/>
        <v>73236.052631578947</v>
      </c>
      <c r="N235" s="2">
        <v>599</v>
      </c>
    </row>
    <row r="236" spans="1:14" x14ac:dyDescent="0.4">
      <c r="A236" s="1">
        <v>100235</v>
      </c>
      <c r="B236" s="1"/>
      <c r="C236" s="1"/>
      <c r="D236" s="1"/>
      <c r="E236" s="1"/>
      <c r="F236" s="1"/>
      <c r="G236" s="1">
        <v>4.5</v>
      </c>
      <c r="H236" s="1">
        <v>36.5</v>
      </c>
      <c r="I236" s="5">
        <f t="shared" si="10"/>
        <v>75628.15789473684</v>
      </c>
      <c r="J236" s="1"/>
      <c r="K236" s="1" t="s">
        <v>25</v>
      </c>
      <c r="L236" s="1"/>
      <c r="M236" s="4">
        <f t="shared" si="11"/>
        <v>75628.15789473684</v>
      </c>
      <c r="N236" s="2">
        <v>629</v>
      </c>
    </row>
    <row r="237" spans="1:14" x14ac:dyDescent="0.4">
      <c r="A237" s="1">
        <v>100236</v>
      </c>
      <c r="B237" s="1"/>
      <c r="C237" s="1"/>
      <c r="D237" s="1"/>
      <c r="E237" s="1"/>
      <c r="F237" s="1"/>
      <c r="G237" s="1">
        <v>5</v>
      </c>
      <c r="H237" s="1">
        <v>37.5</v>
      </c>
      <c r="I237" s="5">
        <f t="shared" si="10"/>
        <v>97157.105263157893</v>
      </c>
      <c r="J237" s="1"/>
      <c r="K237" s="1" t="s">
        <v>25</v>
      </c>
      <c r="L237" s="1"/>
      <c r="M237" s="4">
        <f t="shared" si="11"/>
        <v>97157.105263157893</v>
      </c>
      <c r="N237" s="2">
        <v>899</v>
      </c>
    </row>
    <row r="238" spans="1:14" x14ac:dyDescent="0.4">
      <c r="A238" s="1">
        <v>100237</v>
      </c>
      <c r="B238" s="1"/>
      <c r="C238" s="1"/>
      <c r="D238" s="1"/>
      <c r="E238" s="1"/>
      <c r="F238" s="1"/>
      <c r="G238" s="1">
        <v>5.5</v>
      </c>
      <c r="H238" s="1">
        <v>38</v>
      </c>
      <c r="I238" s="5">
        <f t="shared" si="10"/>
        <v>84399.210526315786</v>
      </c>
      <c r="J238" s="1"/>
      <c r="K238" s="1" t="s">
        <v>25</v>
      </c>
      <c r="L238" s="1"/>
      <c r="M238" s="4">
        <f t="shared" si="11"/>
        <v>84399.210526315786</v>
      </c>
      <c r="N238" s="2">
        <v>739</v>
      </c>
    </row>
    <row r="239" spans="1:14" x14ac:dyDescent="0.4">
      <c r="A239" s="1">
        <v>100238</v>
      </c>
      <c r="B239" s="1"/>
      <c r="C239" s="1"/>
      <c r="D239" s="1"/>
      <c r="E239" s="1"/>
      <c r="F239" s="1"/>
      <c r="G239" s="1">
        <v>6</v>
      </c>
      <c r="H239" s="1">
        <v>38.5</v>
      </c>
      <c r="I239" s="5">
        <f t="shared" si="10"/>
        <v>70843.947368421053</v>
      </c>
      <c r="J239" s="1"/>
      <c r="K239" s="1" t="s">
        <v>25</v>
      </c>
      <c r="L239" s="1"/>
      <c r="M239" s="4">
        <f t="shared" si="11"/>
        <v>70843.947368421053</v>
      </c>
      <c r="N239" s="2">
        <v>569</v>
      </c>
    </row>
    <row r="240" spans="1:14" x14ac:dyDescent="0.4">
      <c r="A240" s="1">
        <v>100239</v>
      </c>
      <c r="B240" s="1"/>
      <c r="C240" s="1"/>
      <c r="D240" s="1"/>
      <c r="E240" s="1"/>
      <c r="F240" s="1"/>
      <c r="G240" s="1">
        <v>6.5</v>
      </c>
      <c r="H240" s="1">
        <v>39</v>
      </c>
      <c r="I240" s="5">
        <f t="shared" si="10"/>
        <v>89980.789473684214</v>
      </c>
      <c r="J240" s="1"/>
      <c r="K240" s="1" t="s">
        <v>25</v>
      </c>
      <c r="L240" s="1"/>
      <c r="M240" s="4">
        <f t="shared" si="11"/>
        <v>89980.789473684214</v>
      </c>
      <c r="N240" s="2">
        <v>809</v>
      </c>
    </row>
    <row r="241" spans="1:14" x14ac:dyDescent="0.4">
      <c r="A241" s="1">
        <v>100240</v>
      </c>
      <c r="B241" s="1"/>
      <c r="C241" s="1"/>
      <c r="D241" s="1"/>
      <c r="E241" s="1"/>
      <c r="F241" s="1"/>
      <c r="G241" s="1">
        <v>7</v>
      </c>
      <c r="H241" s="1">
        <v>40</v>
      </c>
      <c r="I241" s="5">
        <f t="shared" si="10"/>
        <v>95801.578947368427</v>
      </c>
      <c r="J241" s="1"/>
      <c r="K241" s="1" t="s">
        <v>25</v>
      </c>
      <c r="L241" s="1"/>
      <c r="M241" s="4">
        <f t="shared" si="11"/>
        <v>95801.578947368427</v>
      </c>
      <c r="N241" s="2">
        <v>882</v>
      </c>
    </row>
    <row r="242" spans="1:14" x14ac:dyDescent="0.4">
      <c r="A242" s="1">
        <v>100241</v>
      </c>
      <c r="B242" s="1"/>
      <c r="C242" s="1"/>
      <c r="D242" s="1"/>
      <c r="E242" s="1"/>
      <c r="F242" s="1"/>
      <c r="G242" s="1">
        <v>7.5</v>
      </c>
      <c r="H242" s="1">
        <v>40.5</v>
      </c>
      <c r="I242" s="5">
        <f t="shared" si="10"/>
        <v>93170.263157894748</v>
      </c>
      <c r="J242" s="1"/>
      <c r="K242" s="1" t="s">
        <v>25</v>
      </c>
      <c r="L242" s="1"/>
      <c r="M242" s="4">
        <f t="shared" si="11"/>
        <v>93170.263157894748</v>
      </c>
      <c r="N242" s="2">
        <v>849</v>
      </c>
    </row>
    <row r="243" spans="1:14" x14ac:dyDescent="0.4">
      <c r="A243" s="1">
        <v>100242</v>
      </c>
      <c r="B243" s="1"/>
      <c r="C243" s="1"/>
      <c r="D243" s="1"/>
      <c r="E243" s="1"/>
      <c r="F243" s="1"/>
      <c r="G243" s="1">
        <v>8</v>
      </c>
      <c r="H243" s="1">
        <v>41</v>
      </c>
      <c r="I243" s="5">
        <f t="shared" si="10"/>
        <v>106725.52631578948</v>
      </c>
      <c r="J243" s="1"/>
      <c r="K243" s="1" t="s">
        <v>25</v>
      </c>
      <c r="L243" s="1"/>
      <c r="M243" s="4">
        <f t="shared" si="11"/>
        <v>106725.52631578948</v>
      </c>
      <c r="N243" s="2">
        <v>1019</v>
      </c>
    </row>
    <row r="244" spans="1:14" x14ac:dyDescent="0.4">
      <c r="A244" s="1">
        <v>100243</v>
      </c>
      <c r="B244" s="1"/>
      <c r="C244" s="1"/>
      <c r="D244" s="1"/>
      <c r="E244" s="1"/>
      <c r="F244" s="1"/>
      <c r="G244" s="1">
        <v>8.5</v>
      </c>
      <c r="H244" s="1">
        <v>42</v>
      </c>
      <c r="I244" s="5">
        <f t="shared" si="10"/>
        <v>85993.947368421053</v>
      </c>
      <c r="J244" s="1"/>
      <c r="K244" s="1" t="s">
        <v>25</v>
      </c>
      <c r="L244" s="1"/>
      <c r="M244" s="4">
        <f t="shared" si="11"/>
        <v>85993.947368421053</v>
      </c>
      <c r="N244" s="2">
        <v>759</v>
      </c>
    </row>
    <row r="245" spans="1:14" x14ac:dyDescent="0.4">
      <c r="A245" s="1">
        <v>100244</v>
      </c>
      <c r="B245" s="1"/>
      <c r="C245" s="1"/>
      <c r="D245" s="1"/>
      <c r="E245" s="1"/>
      <c r="F245" s="1"/>
      <c r="G245" s="1">
        <v>9</v>
      </c>
      <c r="H245" s="1">
        <v>42.5</v>
      </c>
      <c r="I245" s="5">
        <f t="shared" si="10"/>
        <v>79615</v>
      </c>
      <c r="J245" s="1"/>
      <c r="K245" s="1" t="s">
        <v>25</v>
      </c>
      <c r="L245" s="1"/>
      <c r="M245" s="4">
        <f t="shared" si="11"/>
        <v>79615</v>
      </c>
      <c r="N245" s="2">
        <v>679</v>
      </c>
    </row>
    <row r="246" spans="1:14" x14ac:dyDescent="0.4">
      <c r="A246" s="1">
        <v>100245</v>
      </c>
      <c r="B246" s="1"/>
      <c r="C246" s="1"/>
      <c r="D246" s="1"/>
      <c r="E246" s="1"/>
      <c r="F246" s="1"/>
      <c r="G246" s="1">
        <v>9.5</v>
      </c>
      <c r="H246" s="1">
        <v>43</v>
      </c>
      <c r="I246" s="5">
        <f t="shared" si="10"/>
        <v>76425.526315789481</v>
      </c>
      <c r="J246" s="1"/>
      <c r="K246" s="1" t="s">
        <v>25</v>
      </c>
      <c r="L246" s="1"/>
      <c r="M246" s="4">
        <f t="shared" si="11"/>
        <v>76425.526315789481</v>
      </c>
      <c r="N246" s="2">
        <v>639</v>
      </c>
    </row>
    <row r="247" spans="1:14" x14ac:dyDescent="0.4">
      <c r="A247" s="1">
        <v>100246</v>
      </c>
      <c r="B247" s="1"/>
      <c r="C247" s="1"/>
      <c r="D247" s="1"/>
      <c r="E247" s="1"/>
      <c r="F247" s="1"/>
      <c r="G247" s="1">
        <v>10</v>
      </c>
      <c r="H247" s="1">
        <v>44</v>
      </c>
      <c r="I247" s="5">
        <f t="shared" si="10"/>
        <v>70843.947368421053</v>
      </c>
      <c r="J247" s="1"/>
      <c r="K247" s="1" t="s">
        <v>25</v>
      </c>
      <c r="L247" s="1"/>
      <c r="M247" s="4">
        <f t="shared" si="11"/>
        <v>70843.947368421053</v>
      </c>
      <c r="N247" s="2">
        <v>569</v>
      </c>
    </row>
    <row r="248" spans="1:14" x14ac:dyDescent="0.4">
      <c r="A248" s="1">
        <v>100247</v>
      </c>
      <c r="B248" s="1"/>
      <c r="C248" s="1"/>
      <c r="D248" s="1"/>
      <c r="E248" s="1"/>
      <c r="F248" s="1"/>
      <c r="G248" s="1">
        <v>10.5</v>
      </c>
      <c r="H248" s="1">
        <v>44.5</v>
      </c>
      <c r="I248" s="5">
        <f t="shared" si="10"/>
        <v>67654.473684210534</v>
      </c>
      <c r="J248" s="1"/>
      <c r="K248" s="1" t="s">
        <v>25</v>
      </c>
      <c r="L248" s="1"/>
      <c r="M248" s="4">
        <f t="shared" si="11"/>
        <v>67654.473684210534</v>
      </c>
      <c r="N248" s="2">
        <v>529</v>
      </c>
    </row>
    <row r="249" spans="1:14" ht="160.30000000000001" x14ac:dyDescent="0.4">
      <c r="A249" s="1">
        <v>100248</v>
      </c>
      <c r="B249" s="1"/>
      <c r="C249" s="1"/>
      <c r="D249" s="1"/>
      <c r="E249" s="1" t="s">
        <v>92</v>
      </c>
      <c r="F249" s="1" t="s">
        <v>93</v>
      </c>
      <c r="G249" s="1">
        <v>3.5</v>
      </c>
      <c r="H249" s="1">
        <v>35.5</v>
      </c>
      <c r="I249" s="5">
        <f t="shared" si="10"/>
        <v>89980.789473684214</v>
      </c>
      <c r="J249" s="1"/>
      <c r="K249" s="1" t="s">
        <v>32</v>
      </c>
      <c r="L249" s="9" t="s">
        <v>89</v>
      </c>
      <c r="M249" s="4">
        <f t="shared" si="11"/>
        <v>89980.789473684214</v>
      </c>
      <c r="N249" s="2">
        <v>809</v>
      </c>
    </row>
    <row r="250" spans="1:14" x14ac:dyDescent="0.4">
      <c r="A250" s="1">
        <v>100249</v>
      </c>
      <c r="B250" s="1"/>
      <c r="C250" s="1"/>
      <c r="D250" s="1"/>
      <c r="E250" s="1"/>
      <c r="F250" s="1"/>
      <c r="G250" s="1">
        <v>4</v>
      </c>
      <c r="H250" s="1">
        <v>36</v>
      </c>
      <c r="I250" s="5">
        <f t="shared" si="10"/>
        <v>93967.631578947374</v>
      </c>
      <c r="J250" s="1"/>
      <c r="K250" s="1" t="s">
        <v>25</v>
      </c>
      <c r="L250" s="1"/>
      <c r="M250" s="4">
        <f t="shared" si="11"/>
        <v>93967.631578947374</v>
      </c>
      <c r="N250" s="2">
        <v>859</v>
      </c>
    </row>
    <row r="251" spans="1:14" x14ac:dyDescent="0.4">
      <c r="A251" s="1">
        <v>100250</v>
      </c>
      <c r="B251" s="1"/>
      <c r="C251" s="1"/>
      <c r="D251" s="1"/>
      <c r="E251" s="1"/>
      <c r="F251" s="1"/>
      <c r="G251" s="1">
        <v>4.5</v>
      </c>
      <c r="H251" s="1">
        <v>36.5</v>
      </c>
      <c r="I251" s="5">
        <f t="shared" si="10"/>
        <v>86791.315789473694</v>
      </c>
      <c r="J251" s="1"/>
      <c r="K251" s="1" t="s">
        <v>25</v>
      </c>
      <c r="L251" s="1"/>
      <c r="M251" s="4">
        <f t="shared" si="11"/>
        <v>86791.315789473694</v>
      </c>
      <c r="N251" s="2">
        <v>769</v>
      </c>
    </row>
    <row r="252" spans="1:14" x14ac:dyDescent="0.4">
      <c r="A252" s="1">
        <v>100251</v>
      </c>
      <c r="B252" s="1"/>
      <c r="C252" s="1"/>
      <c r="D252" s="1"/>
      <c r="E252" s="1"/>
      <c r="F252" s="1"/>
      <c r="G252" s="1">
        <v>5</v>
      </c>
      <c r="H252" s="1">
        <v>37.5</v>
      </c>
      <c r="I252" s="5">
        <f t="shared" si="10"/>
        <v>120280.78947368421</v>
      </c>
      <c r="J252" s="1"/>
      <c r="K252" s="1" t="s">
        <v>25</v>
      </c>
      <c r="L252" s="1"/>
      <c r="M252" s="4">
        <f t="shared" si="11"/>
        <v>120280.78947368421</v>
      </c>
      <c r="N252" s="2">
        <v>1189</v>
      </c>
    </row>
    <row r="253" spans="1:14" x14ac:dyDescent="0.4">
      <c r="A253" s="1">
        <v>100252</v>
      </c>
      <c r="B253" s="1"/>
      <c r="C253" s="1"/>
      <c r="D253" s="1"/>
      <c r="E253" s="1"/>
      <c r="F253" s="1"/>
      <c r="G253" s="1">
        <v>5.5</v>
      </c>
      <c r="H253" s="1">
        <v>38</v>
      </c>
      <c r="I253" s="5">
        <f t="shared" si="10"/>
        <v>94765</v>
      </c>
      <c r="J253" s="1"/>
      <c r="K253" s="1" t="s">
        <v>25</v>
      </c>
      <c r="L253" s="1"/>
      <c r="M253" s="4">
        <f t="shared" si="11"/>
        <v>94765</v>
      </c>
      <c r="N253" s="2">
        <v>869</v>
      </c>
    </row>
    <row r="254" spans="1:14" x14ac:dyDescent="0.4">
      <c r="A254" s="1">
        <v>100253</v>
      </c>
      <c r="B254" s="1"/>
      <c r="C254" s="1"/>
      <c r="D254" s="1"/>
      <c r="E254" s="1"/>
      <c r="F254" s="1"/>
      <c r="G254" s="1">
        <v>6</v>
      </c>
      <c r="H254" s="1">
        <v>38.5</v>
      </c>
      <c r="I254" s="5">
        <f t="shared" si="10"/>
        <v>81209.736842105267</v>
      </c>
      <c r="J254" s="1"/>
      <c r="K254" s="1" t="s">
        <v>25</v>
      </c>
      <c r="L254" s="1"/>
      <c r="M254" s="4">
        <f t="shared" si="11"/>
        <v>81209.736842105267</v>
      </c>
      <c r="N254" s="2">
        <v>699</v>
      </c>
    </row>
    <row r="255" spans="1:14" x14ac:dyDescent="0.4">
      <c r="A255" s="1">
        <v>100254</v>
      </c>
      <c r="B255" s="1"/>
      <c r="C255" s="1"/>
      <c r="D255" s="1"/>
      <c r="E255" s="1"/>
      <c r="F255" s="1"/>
      <c r="G255" s="1">
        <v>6.5</v>
      </c>
      <c r="H255" s="1">
        <v>39</v>
      </c>
      <c r="I255" s="5">
        <f t="shared" si="10"/>
        <v>87588.68421052632</v>
      </c>
      <c r="J255" s="1"/>
      <c r="K255" s="1" t="s">
        <v>25</v>
      </c>
      <c r="L255" s="1"/>
      <c r="M255" s="4">
        <f t="shared" si="11"/>
        <v>87588.68421052632</v>
      </c>
      <c r="N255" s="2">
        <v>779</v>
      </c>
    </row>
    <row r="256" spans="1:14" x14ac:dyDescent="0.4">
      <c r="A256" s="1">
        <v>100255</v>
      </c>
      <c r="B256" s="1"/>
      <c r="C256" s="1"/>
      <c r="D256" s="1"/>
      <c r="E256" s="1"/>
      <c r="F256" s="1"/>
      <c r="G256" s="1">
        <v>7</v>
      </c>
      <c r="H256" s="1">
        <v>40</v>
      </c>
      <c r="I256" s="5">
        <f>M256</f>
        <v>100346.57894736843</v>
      </c>
      <c r="J256" s="1"/>
      <c r="K256" s="1" t="s">
        <v>25</v>
      </c>
      <c r="L256" s="1"/>
      <c r="M256" s="4">
        <f t="shared" si="11"/>
        <v>100346.57894736843</v>
      </c>
      <c r="N256" s="2">
        <v>939</v>
      </c>
    </row>
    <row r="257" spans="1:14" x14ac:dyDescent="0.4">
      <c r="A257" s="1">
        <v>100256</v>
      </c>
      <c r="B257" s="1"/>
      <c r="C257" s="1"/>
      <c r="D257" s="1"/>
      <c r="E257" s="1"/>
      <c r="F257" s="1"/>
      <c r="G257" s="1">
        <v>7.5</v>
      </c>
      <c r="H257" s="1">
        <v>40.5</v>
      </c>
      <c r="I257" s="5">
        <f t="shared" ref="I257:I263" si="12">M257</f>
        <v>101941.31578947369</v>
      </c>
      <c r="J257" s="1"/>
      <c r="K257" s="1" t="s">
        <v>25</v>
      </c>
      <c r="L257" s="1"/>
      <c r="M257" s="4">
        <f t="shared" si="11"/>
        <v>101941.31578947369</v>
      </c>
      <c r="N257" s="2">
        <v>959</v>
      </c>
    </row>
    <row r="258" spans="1:14" x14ac:dyDescent="0.4">
      <c r="A258" s="1">
        <v>100257</v>
      </c>
      <c r="B258" s="1"/>
      <c r="C258" s="1"/>
      <c r="D258" s="1"/>
      <c r="E258" s="1"/>
      <c r="F258" s="1"/>
      <c r="G258" s="1">
        <v>8</v>
      </c>
      <c r="H258" s="1">
        <v>41</v>
      </c>
      <c r="I258" s="5">
        <f t="shared" si="12"/>
        <v>97555.789473684214</v>
      </c>
      <c r="J258" s="1"/>
      <c r="K258" s="1" t="s">
        <v>25</v>
      </c>
      <c r="L258" s="1"/>
      <c r="M258" s="4">
        <f t="shared" si="11"/>
        <v>97555.789473684214</v>
      </c>
      <c r="N258" s="2">
        <v>904</v>
      </c>
    </row>
    <row r="259" spans="1:14" x14ac:dyDescent="0.4">
      <c r="A259" s="1">
        <v>100258</v>
      </c>
      <c r="B259" s="1"/>
      <c r="C259" s="1"/>
      <c r="D259" s="1"/>
      <c r="E259" s="1"/>
      <c r="F259" s="1"/>
      <c r="G259" s="1">
        <v>8.5</v>
      </c>
      <c r="H259" s="1">
        <v>42</v>
      </c>
      <c r="I259" s="5">
        <f t="shared" si="12"/>
        <v>93967.631578947374</v>
      </c>
      <c r="J259" s="1"/>
      <c r="K259" s="1" t="s">
        <v>25</v>
      </c>
      <c r="L259" s="1"/>
      <c r="M259" s="4">
        <f t="shared" si="11"/>
        <v>93967.631578947374</v>
      </c>
      <c r="N259" s="2">
        <v>859</v>
      </c>
    </row>
    <row r="260" spans="1:14" x14ac:dyDescent="0.4">
      <c r="A260" s="1">
        <v>100259</v>
      </c>
      <c r="B260" s="1"/>
      <c r="C260" s="1"/>
      <c r="D260" s="1"/>
      <c r="E260" s="1"/>
      <c r="F260" s="1"/>
      <c r="G260" s="1">
        <v>9</v>
      </c>
      <c r="H260" s="1">
        <v>42.5</v>
      </c>
      <c r="I260" s="5">
        <f t="shared" si="12"/>
        <v>105130.78947368421</v>
      </c>
      <c r="J260" s="1"/>
      <c r="K260" s="1" t="s">
        <v>25</v>
      </c>
      <c r="L260" s="1"/>
      <c r="M260" s="4">
        <f t="shared" si="11"/>
        <v>105130.78947368421</v>
      </c>
      <c r="N260" s="2">
        <v>999</v>
      </c>
    </row>
    <row r="261" spans="1:14" x14ac:dyDescent="0.4">
      <c r="A261" s="1">
        <v>100260</v>
      </c>
      <c r="B261" s="1"/>
      <c r="C261" s="1"/>
      <c r="D261" s="1"/>
      <c r="E261" s="1"/>
      <c r="F261" s="1"/>
      <c r="G261" s="1">
        <v>9.5</v>
      </c>
      <c r="H261" s="1">
        <v>43</v>
      </c>
      <c r="I261" s="5">
        <f t="shared" si="12"/>
        <v>92372.894736842107</v>
      </c>
      <c r="J261" s="1"/>
      <c r="K261" s="1" t="s">
        <v>25</v>
      </c>
      <c r="L261" s="1"/>
      <c r="M261" s="4">
        <f t="shared" si="11"/>
        <v>92372.894736842107</v>
      </c>
      <c r="N261" s="2">
        <v>839</v>
      </c>
    </row>
    <row r="262" spans="1:14" x14ac:dyDescent="0.4">
      <c r="A262" s="1">
        <v>100261</v>
      </c>
      <c r="B262" s="1"/>
      <c r="C262" s="1"/>
      <c r="D262" s="1"/>
      <c r="E262" s="1"/>
      <c r="F262" s="1"/>
      <c r="G262" s="1">
        <v>10</v>
      </c>
      <c r="H262" s="1">
        <v>44</v>
      </c>
      <c r="I262" s="5">
        <f t="shared" si="12"/>
        <v>81927.368421052641</v>
      </c>
      <c r="J262" s="1"/>
      <c r="K262" s="1" t="s">
        <v>25</v>
      </c>
      <c r="L262" s="1"/>
      <c r="M262" s="4">
        <f t="shared" si="11"/>
        <v>81927.368421052641</v>
      </c>
      <c r="N262" s="2">
        <v>708</v>
      </c>
    </row>
    <row r="263" spans="1:14" x14ac:dyDescent="0.4">
      <c r="A263" s="1">
        <v>100262</v>
      </c>
      <c r="B263" s="1"/>
      <c r="C263" s="1"/>
      <c r="D263" s="1"/>
      <c r="E263" s="1"/>
      <c r="F263" s="1"/>
      <c r="G263" s="1">
        <v>10.5</v>
      </c>
      <c r="H263" s="1">
        <v>44.5</v>
      </c>
      <c r="I263" s="5">
        <f t="shared" si="12"/>
        <v>81209.736842105267</v>
      </c>
      <c r="J263" s="1"/>
      <c r="K263" s="1" t="s">
        <v>25</v>
      </c>
      <c r="L263" s="1"/>
      <c r="M263" s="4">
        <f t="shared" si="11"/>
        <v>81209.736842105267</v>
      </c>
      <c r="N263" s="2">
        <v>699</v>
      </c>
    </row>
    <row r="264" spans="1:14" x14ac:dyDescent="0.4">
      <c r="A264" s="11">
        <v>100263</v>
      </c>
    </row>
    <row r="265" spans="1:14" x14ac:dyDescent="0.4">
      <c r="A265" s="1">
        <v>100264</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topLeftCell="A10"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0"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c r="D11" s="1"/>
      <c r="E11" s="1"/>
      <c r="F11" s="1"/>
      <c r="G11" s="1"/>
      <c r="H11" s="1"/>
      <c r="I11" s="5"/>
      <c r="J11" s="1"/>
      <c r="K11" s="1"/>
      <c r="L11" s="1"/>
      <c r="M11" s="4"/>
      <c r="N11" s="2"/>
    </row>
    <row r="12" spans="1:14" x14ac:dyDescent="0.4">
      <c r="A12" s="1">
        <v>900011</v>
      </c>
      <c r="B12" s="1"/>
      <c r="C12" s="1"/>
      <c r="D12" s="1"/>
      <c r="E12" s="1"/>
      <c r="F12" s="1"/>
      <c r="G12" s="1"/>
      <c r="H12" s="1"/>
      <c r="I12" s="5"/>
      <c r="J12" s="1"/>
      <c r="K12" s="1"/>
      <c r="L12" s="1"/>
      <c r="M12" s="4"/>
      <c r="N12" s="2"/>
    </row>
    <row r="13" spans="1:14" x14ac:dyDescent="0.4">
      <c r="A13" s="1">
        <v>900012</v>
      </c>
      <c r="B13" s="1"/>
      <c r="C13" s="1"/>
      <c r="D13" s="1"/>
      <c r="E13" s="1"/>
      <c r="F13" s="1"/>
      <c r="G13" s="1"/>
      <c r="H13" s="1"/>
      <c r="I13" s="5"/>
      <c r="J13" s="1"/>
      <c r="K13" s="1"/>
      <c r="L13" s="1"/>
      <c r="M13" s="4"/>
      <c r="N13" s="2"/>
    </row>
    <row r="14" spans="1:14" x14ac:dyDescent="0.4">
      <c r="A14" s="1">
        <v>900013</v>
      </c>
      <c r="B14" s="1"/>
      <c r="C14" s="1"/>
      <c r="D14" s="1"/>
      <c r="E14" s="1"/>
      <c r="F14" s="1"/>
      <c r="G14" s="1"/>
      <c r="H14" s="1"/>
      <c r="I14" s="5"/>
      <c r="J14" s="1"/>
      <c r="K14" s="1"/>
      <c r="L14" s="1"/>
      <c r="M14" s="4"/>
      <c r="N14" s="2"/>
    </row>
    <row r="15" spans="1:14" x14ac:dyDescent="0.4">
      <c r="A15" s="1">
        <v>900014</v>
      </c>
      <c r="B15" s="1"/>
      <c r="C15" s="1"/>
      <c r="D15" s="1"/>
      <c r="E15" s="1"/>
      <c r="F15" s="1"/>
      <c r="G15" s="1"/>
      <c r="H15" s="1"/>
      <c r="I15" s="5"/>
      <c r="J15" s="1"/>
      <c r="K15" s="1"/>
      <c r="L15" s="1"/>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topLeftCell="A3"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1"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9</vt:i4>
      </vt:variant>
    </vt:vector>
  </HeadingPairs>
  <TitlesOfParts>
    <vt:vector size="9" baseType="lpstr">
      <vt:lpstr>Nike</vt:lpstr>
      <vt:lpstr>Mizuno</vt:lpstr>
      <vt:lpstr>Hoka</vt:lpstr>
      <vt:lpstr>The North Face</vt:lpstr>
      <vt:lpstr>Timberland</vt:lpstr>
      <vt:lpstr>Adidas</vt:lpstr>
      <vt:lpstr>Native</vt:lpstr>
      <vt:lpstr>Dickies</vt:lpstr>
      <vt:lpstr>Skechers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2025-12-09T06:49:45Z</dcterms:modified>
</cp:coreProperties>
</file>