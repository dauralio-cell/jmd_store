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B6DF3CBF-6967-49FE-8FAE-B78541703987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  <sheet name="Dickies" sheetId="13" r:id="rId8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47" i="3" l="1"/>
  <c r="M48" i="3"/>
  <c r="M49" i="3"/>
  <c r="M50" i="3"/>
  <c r="M51" i="3"/>
  <c r="M52" i="3"/>
  <c r="M53" i="3"/>
  <c r="I53" i="3" s="1"/>
  <c r="M54" i="3"/>
  <c r="I54" i="3" s="1"/>
  <c r="M55" i="3"/>
  <c r="I55" i="3" s="1"/>
  <c r="M56" i="3"/>
  <c r="I56" i="3" s="1"/>
  <c r="M57" i="3"/>
  <c r="M58" i="3"/>
  <c r="I58" i="3" s="1"/>
  <c r="M59" i="3"/>
  <c r="I59" i="3" s="1"/>
  <c r="M60" i="3"/>
  <c r="I60" i="3" s="1"/>
  <c r="M61" i="3"/>
  <c r="I61" i="3" s="1"/>
  <c r="I47" i="3"/>
  <c r="I48" i="3"/>
  <c r="I49" i="3"/>
  <c r="I50" i="3"/>
  <c r="I51" i="3"/>
  <c r="I52" i="3"/>
  <c r="I57" i="3"/>
  <c r="M3" i="4"/>
  <c r="M4" i="4"/>
  <c r="M5" i="4"/>
  <c r="M6" i="4"/>
  <c r="M7" i="4"/>
  <c r="M8" i="4"/>
  <c r="M9" i="4"/>
  <c r="M10" i="4"/>
  <c r="M11" i="4"/>
  <c r="M12" i="4"/>
  <c r="M13" i="4"/>
  <c r="I13" i="4" s="1"/>
  <c r="M14" i="4"/>
  <c r="I14" i="4" s="1"/>
  <c r="M15" i="4"/>
  <c r="I15" i="4" s="1"/>
  <c r="M16" i="4"/>
  <c r="I16" i="4" s="1"/>
  <c r="M17" i="4"/>
  <c r="I17" i="4" s="1"/>
  <c r="M18" i="4"/>
  <c r="I18" i="4" s="1"/>
  <c r="M19" i="4"/>
  <c r="M20" i="4"/>
  <c r="M21" i="4"/>
  <c r="M22" i="4"/>
  <c r="M23" i="4"/>
  <c r="M24" i="4"/>
  <c r="M25" i="4"/>
  <c r="M26" i="4"/>
  <c r="M27" i="4"/>
  <c r="M28" i="4"/>
  <c r="M29" i="4"/>
  <c r="I29" i="4" s="1"/>
  <c r="M30" i="4"/>
  <c r="I30" i="4" s="1"/>
  <c r="M31" i="4"/>
  <c r="I31" i="4" s="1"/>
  <c r="M32" i="4"/>
  <c r="I32" i="4" s="1"/>
  <c r="M33" i="4"/>
  <c r="I33" i="4" s="1"/>
  <c r="M2" i="4"/>
  <c r="I2" i="4" s="1"/>
  <c r="M9" i="3"/>
  <c r="M10" i="3"/>
  <c r="M11" i="3"/>
  <c r="M12" i="3"/>
  <c r="M13" i="3"/>
  <c r="M14" i="3"/>
  <c r="M15" i="3"/>
  <c r="M16" i="3"/>
  <c r="M17" i="3"/>
  <c r="I17" i="3" s="1"/>
  <c r="M18" i="3"/>
  <c r="M19" i="3"/>
  <c r="I19" i="3" s="1"/>
  <c r="M20" i="3"/>
  <c r="I20" i="3" s="1"/>
  <c r="M21" i="3"/>
  <c r="I21" i="3" s="1"/>
  <c r="M22" i="3"/>
  <c r="I22" i="3" s="1"/>
  <c r="M23" i="3"/>
  <c r="M24" i="3"/>
  <c r="I24" i="3" s="1"/>
  <c r="M25" i="3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M42" i="3"/>
  <c r="M43" i="3"/>
  <c r="M44" i="3"/>
  <c r="M45" i="3"/>
  <c r="I45" i="3" s="1"/>
  <c r="M46" i="3"/>
  <c r="M2" i="3"/>
  <c r="M3" i="3"/>
  <c r="M4" i="3"/>
  <c r="I4" i="3" s="1"/>
  <c r="M5" i="3"/>
  <c r="I5" i="3" s="1"/>
  <c r="M6" i="3"/>
  <c r="I6" i="3" s="1"/>
  <c r="M7" i="3"/>
  <c r="M8" i="3"/>
  <c r="M19" i="13"/>
  <c r="M20" i="13"/>
  <c r="M21" i="13"/>
  <c r="M22" i="13"/>
  <c r="M23" i="13"/>
  <c r="M24" i="13"/>
  <c r="M25" i="13"/>
  <c r="I19" i="13"/>
  <c r="I20" i="13"/>
  <c r="I21" i="13"/>
  <c r="I22" i="13"/>
  <c r="I23" i="13"/>
  <c r="I24" i="13"/>
  <c r="I25" i="13"/>
  <c r="M12" i="13"/>
  <c r="M13" i="13"/>
  <c r="I13" i="13" s="1"/>
  <c r="M14" i="13"/>
  <c r="M15" i="13"/>
  <c r="M16" i="13"/>
  <c r="M17" i="13"/>
  <c r="M18" i="13"/>
  <c r="I12" i="13"/>
  <c r="I14" i="13"/>
  <c r="I15" i="13"/>
  <c r="I16" i="13"/>
  <c r="I17" i="13"/>
  <c r="I18" i="13"/>
  <c r="M11" i="13"/>
  <c r="I11" i="13"/>
  <c r="M10" i="13"/>
  <c r="I10" i="13" s="1"/>
  <c r="M9" i="13"/>
  <c r="I9" i="13" s="1"/>
  <c r="M8" i="13"/>
  <c r="I8" i="13"/>
  <c r="M7" i="13"/>
  <c r="I7" i="13" s="1"/>
  <c r="M6" i="13"/>
  <c r="I6" i="13"/>
  <c r="M5" i="13"/>
  <c r="I5" i="13" s="1"/>
  <c r="M4" i="13"/>
  <c r="I4" i="13" s="1"/>
  <c r="M3" i="13"/>
  <c r="I3" i="13"/>
  <c r="M2" i="13"/>
  <c r="I2" i="13" s="1"/>
  <c r="I3" i="4"/>
  <c r="I4" i="4"/>
  <c r="I5" i="4"/>
  <c r="I6" i="4"/>
  <c r="I7" i="4"/>
  <c r="I8" i="4"/>
  <c r="I9" i="4"/>
  <c r="I10" i="4"/>
  <c r="I11" i="4"/>
  <c r="I12" i="4"/>
  <c r="I19" i="4"/>
  <c r="I20" i="4"/>
  <c r="I21" i="4"/>
  <c r="I22" i="4"/>
  <c r="I23" i="4"/>
  <c r="I24" i="4"/>
  <c r="I25" i="4"/>
  <c r="I26" i="4"/>
  <c r="I27" i="4"/>
  <c r="I28" i="4"/>
  <c r="I7" i="3"/>
  <c r="I8" i="3"/>
  <c r="I9" i="3"/>
  <c r="I12" i="3"/>
  <c r="I13" i="3"/>
  <c r="I14" i="3"/>
  <c r="I15" i="3"/>
  <c r="I16" i="3"/>
  <c r="I18" i="3"/>
  <c r="I23" i="3"/>
  <c r="I25" i="3"/>
  <c r="I41" i="3"/>
  <c r="I43" i="3"/>
  <c r="I44" i="3"/>
  <c r="I46" i="3"/>
  <c r="I2" i="3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42" i="3"/>
  <c r="I10" i="3"/>
  <c r="I11" i="3"/>
  <c r="I3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<sst xmlns="http://schemas.openxmlformats.org/spreadsheetml/2006/main" count="337" uniqueCount="62">
  <si>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</si>
  <si>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</si>
  <si>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</si>
  <si>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</si>
  <si>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</si>
  <si>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</si>
  <si>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</si>
  <si>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</si>
  <si>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</si>
  <si>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</si>
  <si>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</si>
  <si>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</si>
  <si>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</si>
  <si>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</si>
  <si>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</si>
  <si>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</si>
  <si>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</si>
  <si>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</si>
  <si>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</si>
  <si>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</si>
  <si>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</si>
  <si>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</si>
  <si>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</si>
  <si>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</si>
  <si>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</si>
  <si>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</si>
  <si>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</si>
  <si>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</si>
  <si>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</si>
  <si>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</si>
  <si>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</si>
  <si>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</si>
  <si>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</si>
  <si>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</si>
  <si>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</si>
  <si>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</si>
  <si>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</si>
  <si>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</si>
  <si>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</si>
  <si>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</si>
  <si>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</si>
  <si>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</si>
  <si>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</si>
  <si>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</si>
  <si>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</si>
  <si>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</si>
  <si>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</si>
  <si>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</si>
  <si>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</si>
  <si>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</si>
  <si>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</si>
  <si>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</si>
  <si>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</si>
  <si>
    <t>Dickies</t>
  </si>
  <si>
    <t>120001_1 120001_2 120001_3 120001_4 120001_5 120001_6</t>
  </si>
  <si>
    <t>yellow</t>
  </si>
  <si>
    <t>british style</t>
  </si>
  <si>
    <t>women</t>
  </si>
  <si>
    <t>120011_1 120011_2 120011_3 120011_4 120011_5 120011_6</t>
  </si>
  <si>
    <t xml:space="preserve">120018_1 120018_2 120018_3 120018_4 120018_5 </t>
  </si>
  <si>
    <t>Air Force 1 "wheat" mid</t>
  </si>
  <si>
    <t>100046_1 100046_2 100046_3 100046_4 100046_5 100046_6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</si>
</sst>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;[Red]\-0.0\ "/>
    <numFmt numFmtId="165" formatCode="0.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87"/>
  <sheetViews>
    <sheetView tabSelected="1" topLeftCell="C41" workbookViewId="0">
      <selection activeCell="K65" sqref="K65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71641.315789473694</v>
      </c>
      <c r="J2" s="1"/>
      <c r="K2" s="1" t="s">
        <v>25</v>
      </c>
      <c r="L2" s="1"/>
      <c r="M2" s="5">
        <f t="shared" ref="M2:M7" si="0">(N2*75+N2*75*0.01+15000+4200+5000)/0.95</f>
        <v>71641.315789473694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61" si="1">M3</f>
        <v>71641.315789473694</v>
      </c>
      <c r="J3" s="1"/>
      <c r="K3" s="1" t="s">
        <v>25</v>
      </c>
      <c r="L3" s="1"/>
      <c r="M3" s="5">
        <f t="shared" si="0"/>
        <v>71641.315789473694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1"/>
        <v>71641.315789473694</v>
      </c>
      <c r="J4" s="1"/>
      <c r="K4" s="1" t="s">
        <v>25</v>
      </c>
      <c r="L4" s="1"/>
      <c r="M4" s="5">
        <f t="shared" si="0"/>
        <v>71641.315789473694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1"/>
        <v>71641.315789473694</v>
      </c>
      <c r="J5" s="1"/>
      <c r="K5" s="1" t="s">
        <v>25</v>
      </c>
      <c r="L5" s="1"/>
      <c r="M5" s="5">
        <f t="shared" si="0"/>
        <v>71641.315789473694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1"/>
        <v>71641.315789473694</v>
      </c>
      <c r="J6" s="1"/>
      <c r="K6" s="1" t="s">
        <v>25</v>
      </c>
      <c r="L6" s="1"/>
      <c r="M6" s="5">
        <f t="shared" si="0"/>
        <v>71641.315789473694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1"/>
        <v>71641.315789473694</v>
      </c>
      <c r="J7" s="1"/>
      <c r="K7" s="1" t="s">
        <v>25</v>
      </c>
      <c r="L7" s="1"/>
      <c r="M7" s="5">
        <f t="shared" si="0"/>
        <v>71641.315789473694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1"/>
        <v>71641.315789473694</v>
      </c>
      <c r="J8" s="1"/>
      <c r="K8" s="1" t="s">
        <v>25</v>
      </c>
      <c r="L8" s="1"/>
      <c r="M8" s="5">
        <f>(N8*75+N8*75*0.01+15000+4200+5000)/0.95</f>
        <v>71641.315789473694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1"/>
        <v>71641.315789473694</v>
      </c>
      <c r="J9" s="1"/>
      <c r="K9" s="1" t="s">
        <v>25</v>
      </c>
      <c r="L9" s="1"/>
      <c r="M9" s="5">
        <f t="shared" ref="M9:M61" si="2">(N9*75+N9*75*0.01+15000+4200+5000)/0.95</f>
        <v>71641.315789473694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1"/>
        <v>71641.315789473694</v>
      </c>
      <c r="J10" s="1"/>
      <c r="K10" s="1" t="s">
        <v>25</v>
      </c>
      <c r="L10" s="1"/>
      <c r="M10" s="5">
        <f t="shared" si="2"/>
        <v>71641.315789473694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1"/>
        <v>71641.315789473694</v>
      </c>
      <c r="J11" s="1"/>
      <c r="K11" s="1" t="s">
        <v>25</v>
      </c>
      <c r="L11" s="1"/>
      <c r="M11" s="5">
        <f t="shared" si="2"/>
        <v>71641.315789473694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1"/>
        <v>71641.315789473694</v>
      </c>
      <c r="J12" s="1"/>
      <c r="K12" s="1" t="s">
        <v>25</v>
      </c>
      <c r="L12" s="1"/>
      <c r="M12" s="5">
        <f t="shared" si="2"/>
        <v>71641.315789473694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1"/>
        <v>71641.315789473694</v>
      </c>
      <c r="J13" s="1"/>
      <c r="K13" s="1" t="s">
        <v>25</v>
      </c>
      <c r="L13" s="1"/>
      <c r="M13" s="5">
        <f t="shared" si="2"/>
        <v>71641.315789473694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1"/>
        <v>71641.315789473694</v>
      </c>
      <c r="J14" s="1"/>
      <c r="K14" s="1" t="s">
        <v>25</v>
      </c>
      <c r="L14" s="1"/>
      <c r="M14" s="5">
        <f t="shared" si="2"/>
        <v>71641.315789473694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1"/>
        <v>71641.315789473694</v>
      </c>
      <c r="J15" s="1"/>
      <c r="K15" s="1" t="s">
        <v>25</v>
      </c>
      <c r="L15" s="1"/>
      <c r="M15" s="5">
        <f t="shared" si="2"/>
        <v>71641.315789473694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1"/>
        <v>71641.315789473694</v>
      </c>
      <c r="J16" s="1"/>
      <c r="K16" s="1" t="s">
        <v>25</v>
      </c>
      <c r="L16" s="1"/>
      <c r="M16" s="5">
        <f t="shared" si="2"/>
        <v>71641.315789473694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1"/>
        <v>71641.315789473694</v>
      </c>
      <c r="J17" s="1"/>
      <c r="K17" s="1" t="s">
        <v>25</v>
      </c>
      <c r="L17" s="1"/>
      <c r="M17" s="5">
        <f t="shared" si="2"/>
        <v>71641.315789473694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1"/>
        <v>71641.315789473694</v>
      </c>
      <c r="J18" s="1"/>
      <c r="K18" s="1" t="s">
        <v>25</v>
      </c>
      <c r="L18" s="1"/>
      <c r="M18" s="5">
        <f t="shared" si="2"/>
        <v>71641.315789473694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1"/>
        <v>71641.315789473694</v>
      </c>
      <c r="J19" s="1"/>
      <c r="K19" s="1" t="s">
        <v>25</v>
      </c>
      <c r="L19" s="1"/>
      <c r="M19" s="5">
        <f t="shared" si="2"/>
        <v>71641.315789473694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1"/>
        <v>71641.315789473694</v>
      </c>
      <c r="J20" s="1"/>
      <c r="K20" s="1" t="s">
        <v>25</v>
      </c>
      <c r="L20" s="1"/>
      <c r="M20" s="5">
        <f t="shared" si="2"/>
        <v>71641.315789473694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1"/>
        <v>71641.315789473694</v>
      </c>
      <c r="J21" s="1"/>
      <c r="K21" s="1" t="s">
        <v>25</v>
      </c>
      <c r="L21" s="1"/>
      <c r="M21" s="5">
        <f t="shared" si="2"/>
        <v>71641.315789473694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1"/>
        <v>71641.315789473694</v>
      </c>
      <c r="J22" s="1"/>
      <c r="K22" s="1" t="s">
        <v>25</v>
      </c>
      <c r="L22" s="1"/>
      <c r="M22" s="5">
        <f t="shared" si="2"/>
        <v>71641.315789473694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1"/>
        <v>71641.315789473694</v>
      </c>
      <c r="J23" s="1"/>
      <c r="K23" s="1" t="s">
        <v>25</v>
      </c>
      <c r="L23" s="1"/>
      <c r="M23" s="5">
        <f t="shared" si="2"/>
        <v>71641.315789473694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1"/>
        <v>71641.315789473694</v>
      </c>
      <c r="J24" s="1"/>
      <c r="K24" s="1" t="s">
        <v>25</v>
      </c>
      <c r="L24" s="1"/>
      <c r="M24" s="5">
        <f t="shared" si="2"/>
        <v>71641.315789473694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1"/>
        <v>71641.315789473694</v>
      </c>
      <c r="J25" s="1"/>
      <c r="K25" s="1" t="s">
        <v>25</v>
      </c>
      <c r="L25" s="1"/>
      <c r="M25" s="5">
        <f t="shared" si="2"/>
        <v>71641.315789473694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1"/>
        <v>71641.315789473694</v>
      </c>
      <c r="J26" s="1"/>
      <c r="K26" s="1" t="s">
        <v>25</v>
      </c>
      <c r="L26" s="1"/>
      <c r="M26" s="5">
        <f t="shared" si="2"/>
        <v>71641.315789473694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1"/>
        <v>71641.315789473694</v>
      </c>
      <c r="J27" s="1"/>
      <c r="K27" s="1" t="s">
        <v>25</v>
      </c>
      <c r="L27" s="1"/>
      <c r="M27" s="5">
        <f t="shared" si="2"/>
        <v>71641.315789473694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1"/>
        <v>71641.315789473694</v>
      </c>
      <c r="J28" s="1"/>
      <c r="K28" s="1" t="s">
        <v>25</v>
      </c>
      <c r="L28" s="1"/>
      <c r="M28" s="5">
        <f t="shared" si="2"/>
        <v>71641.315789473694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1"/>
        <v>71641.315789473694</v>
      </c>
      <c r="J29" s="1"/>
      <c r="K29" s="1" t="s">
        <v>25</v>
      </c>
      <c r="L29" s="1"/>
      <c r="M29" s="5">
        <f t="shared" si="2"/>
        <v>71641.315789473694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1"/>
        <v>71641.315789473694</v>
      </c>
      <c r="J30" s="1"/>
      <c r="K30" s="1" t="s">
        <v>25</v>
      </c>
      <c r="L30" s="1"/>
      <c r="M30" s="5">
        <f t="shared" si="2"/>
        <v>71641.315789473694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1"/>
        <v>71641.315789473694</v>
      </c>
      <c r="J31" s="1"/>
      <c r="K31" s="1" t="s">
        <v>25</v>
      </c>
      <c r="L31" s="1"/>
      <c r="M31" s="5">
        <f t="shared" si="2"/>
        <v>71641.315789473694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1"/>
        <v>81209.736842105267</v>
      </c>
      <c r="J32" s="1"/>
      <c r="K32" s="1" t="s">
        <v>32</v>
      </c>
      <c r="L32" s="1"/>
      <c r="M32" s="5">
        <f t="shared" si="2"/>
        <v>81209.736842105267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1"/>
        <v>81209.736842105267</v>
      </c>
      <c r="J33" s="1"/>
      <c r="K33" s="1" t="s">
        <v>25</v>
      </c>
      <c r="L33" s="1"/>
      <c r="M33" s="5">
        <f t="shared" si="2"/>
        <v>81209.736842105267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1"/>
        <v>73236.052631578947</v>
      </c>
      <c r="J34" s="1"/>
      <c r="K34" s="1" t="s">
        <v>25</v>
      </c>
      <c r="L34" s="1"/>
      <c r="M34" s="5">
        <f t="shared" si="2"/>
        <v>73236.052631578947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1"/>
        <v>25473.684210526317</v>
      </c>
      <c r="J35" s="1"/>
      <c r="K35" s="1" t="s">
        <v>32</v>
      </c>
      <c r="L35" s="1"/>
      <c r="M35" s="5">
        <f t="shared" si="2"/>
        <v>25473.684210526317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1"/>
        <v>73236.052631578947</v>
      </c>
      <c r="J36" s="1"/>
      <c r="K36" s="1" t="s">
        <v>25</v>
      </c>
      <c r="L36" s="1"/>
      <c r="M36" s="5">
        <f t="shared" si="2"/>
        <v>73236.052631578947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1"/>
        <v>64465</v>
      </c>
      <c r="J37" s="1"/>
      <c r="K37" s="1" t="s">
        <v>25</v>
      </c>
      <c r="L37" s="1"/>
      <c r="M37" s="5">
        <f t="shared" si="2"/>
        <v>64465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1"/>
        <v>58086.052631578947</v>
      </c>
      <c r="J38" s="1"/>
      <c r="K38" s="1" t="s">
        <v>25</v>
      </c>
      <c r="L38" s="1"/>
      <c r="M38" s="5">
        <f t="shared" si="2"/>
        <v>58086.052631578947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1"/>
        <v>63667.631578947374</v>
      </c>
      <c r="J39" s="1"/>
      <c r="K39" s="1" t="s">
        <v>25</v>
      </c>
      <c r="L39" s="1"/>
      <c r="M39" s="5">
        <f t="shared" si="2"/>
        <v>63667.631578947374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1"/>
        <v>65262.368421052633</v>
      </c>
      <c r="J40" s="1"/>
      <c r="K40" s="1" t="s">
        <v>25</v>
      </c>
      <c r="L40" s="1"/>
      <c r="M40" s="5">
        <f t="shared" si="2"/>
        <v>65262.368421052633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1"/>
        <v>151457.89473684211</v>
      </c>
      <c r="J41" s="1"/>
      <c r="K41" s="1" t="s">
        <v>25</v>
      </c>
      <c r="L41" s="1"/>
      <c r="M41" s="5">
        <f t="shared" si="2"/>
        <v>151457.89473684211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1"/>
        <v>144520.78947368421</v>
      </c>
      <c r="J42" s="1"/>
      <c r="K42" s="1" t="s">
        <v>25</v>
      </c>
      <c r="L42" s="1"/>
      <c r="M42" s="5">
        <f t="shared" si="2"/>
        <v>144520.78947368421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1"/>
        <v>77541.84210526316</v>
      </c>
      <c r="J43" s="1"/>
      <c r="K43" s="1" t="s">
        <v>25</v>
      </c>
      <c r="L43" s="1"/>
      <c r="M43" s="5">
        <f t="shared" si="2"/>
        <v>77541.84210526316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1"/>
        <v>73236.052631578947</v>
      </c>
      <c r="J44" s="1"/>
      <c r="K44" s="1" t="s">
        <v>25</v>
      </c>
      <c r="L44" s="1"/>
      <c r="M44" s="5">
        <f t="shared" si="2"/>
        <v>73236.052631578947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1"/>
        <v>94924.473684210534</v>
      </c>
      <c r="J45" s="1"/>
      <c r="K45" s="1" t="s">
        <v>25</v>
      </c>
      <c r="L45" s="1"/>
      <c r="M45" s="5">
        <f t="shared" si="2"/>
        <v>94924.473684210534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1"/>
        <v>81050.263157894748</v>
      </c>
      <c r="J46" s="1"/>
      <c r="K46" s="1" t="s">
        <v>25</v>
      </c>
      <c r="L46" s="1"/>
      <c r="M46" s="5">
        <f t="shared" si="2"/>
        <v>81050.263157894748</v>
      </c>
      <c r="N46" s="2">
        <v>697</v>
      </c>
    </row>
    <row r="47" spans="1:14" x14ac:dyDescent="0.4">
      <c r="A47" s="1">
        <v>100046</v>
      </c>
      <c r="B47" s="1"/>
      <c r="C47" s="1" t="s">
        <v>60</v>
      </c>
      <c r="D47" s="1" t="s">
        <v>38</v>
      </c>
      <c r="E47" s="1" t="s">
        <v>30</v>
      </c>
      <c r="F47" s="1" t="s">
        <v>61</v>
      </c>
      <c r="G47" s="1">
        <v>3.5</v>
      </c>
      <c r="H47" s="1">
        <v>35.5</v>
      </c>
      <c r="I47" s="6">
        <f t="shared" si="1"/>
        <v>88386.052631578947</v>
      </c>
      <c r="J47" s="1"/>
      <c r="K47" s="1" t="s">
        <v>25</v>
      </c>
      <c r="L47" s="1"/>
      <c r="M47" s="5">
        <f t="shared" si="2"/>
        <v>88386.052631578947</v>
      </c>
      <c r="N47" s="2">
        <v>789</v>
      </c>
    </row>
    <row r="48" spans="1:14" x14ac:dyDescent="0.4">
      <c r="A48" s="1">
        <v>100047</v>
      </c>
      <c r="B48" s="1"/>
      <c r="C48" s="1"/>
      <c r="D48" s="1"/>
      <c r="E48" s="1"/>
      <c r="F48" s="1"/>
      <c r="G48" s="1">
        <v>4</v>
      </c>
      <c r="H48" s="1">
        <v>36</v>
      </c>
      <c r="I48" s="6">
        <f t="shared" si="1"/>
        <v>129051.84210526316</v>
      </c>
      <c r="J48" s="1"/>
      <c r="K48" s="1" t="s">
        <v>25</v>
      </c>
      <c r="L48" s="1"/>
      <c r="M48" s="5">
        <f t="shared" si="2"/>
        <v>129051.84210526316</v>
      </c>
      <c r="N48" s="2">
        <v>1299</v>
      </c>
    </row>
    <row r="49" spans="1:14" x14ac:dyDescent="0.4">
      <c r="A49" s="1">
        <v>100048</v>
      </c>
      <c r="B49" s="1"/>
      <c r="C49" s="1"/>
      <c r="D49" s="1"/>
      <c r="E49" s="1"/>
      <c r="F49" s="1"/>
      <c r="G49" s="1">
        <v>4.5</v>
      </c>
      <c r="H49" s="1">
        <v>36.5</v>
      </c>
      <c r="I49" s="6">
        <f t="shared" si="1"/>
        <v>107522.89473684211</v>
      </c>
      <c r="J49" s="1"/>
      <c r="K49" s="1" t="s">
        <v>25</v>
      </c>
      <c r="L49" s="1"/>
      <c r="M49" s="5">
        <f t="shared" si="2"/>
        <v>107522.89473684211</v>
      </c>
      <c r="N49" s="2">
        <v>1029</v>
      </c>
    </row>
    <row r="50" spans="1:14" x14ac:dyDescent="0.4">
      <c r="A50" s="1">
        <v>100049</v>
      </c>
      <c r="B50" s="1"/>
      <c r="C50" s="1"/>
      <c r="D50" s="1"/>
      <c r="E50" s="1"/>
      <c r="F50" s="1"/>
      <c r="G50" s="1">
        <v>5</v>
      </c>
      <c r="H50" s="1">
        <v>37.5</v>
      </c>
      <c r="I50" s="6">
        <f t="shared" si="1"/>
        <v>97157.105263157893</v>
      </c>
      <c r="J50" s="1"/>
      <c r="K50" s="1" t="s">
        <v>25</v>
      </c>
      <c r="L50" s="1"/>
      <c r="M50" s="5">
        <f t="shared" si="2"/>
        <v>97157.105263157893</v>
      </c>
      <c r="N50" s="2">
        <v>899</v>
      </c>
    </row>
    <row r="51" spans="1:14" x14ac:dyDescent="0.4">
      <c r="A51" s="1">
        <v>100050</v>
      </c>
      <c r="B51" s="1"/>
      <c r="C51" s="1"/>
      <c r="D51" s="1"/>
      <c r="E51" s="1"/>
      <c r="F51" s="1"/>
      <c r="G51" s="1">
        <v>5.5</v>
      </c>
      <c r="H51" s="1">
        <v>38</v>
      </c>
      <c r="I51" s="6">
        <f t="shared" si="1"/>
        <v>96359.736842105267</v>
      </c>
      <c r="J51" s="1"/>
      <c r="K51" s="1" t="s">
        <v>25</v>
      </c>
      <c r="L51" s="1"/>
      <c r="M51" s="5">
        <f t="shared" si="2"/>
        <v>96359.736842105267</v>
      </c>
      <c r="N51" s="2">
        <v>889</v>
      </c>
    </row>
    <row r="52" spans="1:14" x14ac:dyDescent="0.4">
      <c r="A52" s="1">
        <v>100051</v>
      </c>
      <c r="B52" s="1"/>
      <c r="C52" s="1"/>
      <c r="D52" s="1"/>
      <c r="E52" s="1"/>
      <c r="F52" s="1"/>
      <c r="G52" s="1">
        <v>6</v>
      </c>
      <c r="H52" s="1">
        <v>38.5</v>
      </c>
      <c r="I52" s="6">
        <f t="shared" si="1"/>
        <v>84399.210526315786</v>
      </c>
      <c r="J52" s="1"/>
      <c r="K52" s="1" t="s">
        <v>25</v>
      </c>
      <c r="L52" s="1"/>
      <c r="M52" s="5">
        <f t="shared" si="2"/>
        <v>84399.210526315786</v>
      </c>
      <c r="N52" s="2">
        <v>739</v>
      </c>
    </row>
    <row r="53" spans="1:14" x14ac:dyDescent="0.4">
      <c r="A53" s="1">
        <v>100052</v>
      </c>
      <c r="B53" s="1"/>
      <c r="C53" s="1"/>
      <c r="D53" s="1"/>
      <c r="E53" s="1"/>
      <c r="F53" s="1"/>
      <c r="G53" s="1">
        <v>6.5</v>
      </c>
      <c r="H53" s="1">
        <v>39</v>
      </c>
      <c r="I53" s="6">
        <f t="shared" si="1"/>
        <v>75628.15789473684</v>
      </c>
      <c r="J53" s="1"/>
      <c r="K53" s="1" t="s">
        <v>25</v>
      </c>
      <c r="L53" s="1"/>
      <c r="M53" s="5">
        <f t="shared" si="2"/>
        <v>75628.15789473684</v>
      </c>
      <c r="N53" s="2">
        <v>629</v>
      </c>
    </row>
    <row r="54" spans="1:14" x14ac:dyDescent="0.4">
      <c r="A54" s="1">
        <v>100053</v>
      </c>
      <c r="B54" s="1"/>
      <c r="C54" s="1"/>
      <c r="D54" s="1"/>
      <c r="E54" s="1"/>
      <c r="F54" s="1"/>
      <c r="G54" s="1">
        <v>7</v>
      </c>
      <c r="H54" s="1">
        <v>40</v>
      </c>
      <c r="I54" s="6">
        <f t="shared" si="1"/>
        <v>74830.789473684214</v>
      </c>
      <c r="J54" s="1"/>
      <c r="K54" s="1" t="s">
        <v>25</v>
      </c>
      <c r="L54" s="1"/>
      <c r="M54" s="5">
        <f t="shared" si="2"/>
        <v>74830.789473684214</v>
      </c>
      <c r="N54" s="2">
        <v>619</v>
      </c>
    </row>
    <row r="55" spans="1:14" x14ac:dyDescent="0.4">
      <c r="A55" s="1">
        <v>100054</v>
      </c>
      <c r="B55" s="1"/>
      <c r="C55" s="1"/>
      <c r="D55" s="1"/>
      <c r="E55" s="1"/>
      <c r="F55" s="1"/>
      <c r="G55" s="1">
        <v>7.5</v>
      </c>
      <c r="H55" s="1">
        <v>40.5</v>
      </c>
      <c r="I55" s="6">
        <f t="shared" si="1"/>
        <v>74830.789473684214</v>
      </c>
      <c r="J55" s="1"/>
      <c r="K55" s="1" t="s">
        <v>25</v>
      </c>
      <c r="L55" s="1"/>
      <c r="M55" s="5">
        <f t="shared" si="2"/>
        <v>74830.789473684214</v>
      </c>
      <c r="N55" s="2">
        <v>619</v>
      </c>
    </row>
    <row r="56" spans="1:14" x14ac:dyDescent="0.4">
      <c r="A56" s="1">
        <v>100055</v>
      </c>
      <c r="B56" s="1"/>
      <c r="C56" s="1"/>
      <c r="D56" s="1"/>
      <c r="E56" s="1"/>
      <c r="F56" s="1"/>
      <c r="G56" s="1">
        <v>8</v>
      </c>
      <c r="H56" s="1">
        <v>41</v>
      </c>
      <c r="I56" s="6">
        <f t="shared" si="1"/>
        <v>74830.789473684214</v>
      </c>
      <c r="J56" s="1"/>
      <c r="K56" s="1" t="s">
        <v>25</v>
      </c>
      <c r="L56" s="1"/>
      <c r="M56" s="5">
        <f t="shared" si="2"/>
        <v>74830.789473684214</v>
      </c>
      <c r="N56" s="2">
        <v>619</v>
      </c>
    </row>
    <row r="57" spans="1:14" x14ac:dyDescent="0.4">
      <c r="A57" s="1">
        <v>100056</v>
      </c>
      <c r="B57" s="1"/>
      <c r="C57" s="1"/>
      <c r="D57" s="1"/>
      <c r="E57" s="1"/>
      <c r="F57" s="1"/>
      <c r="G57" s="1">
        <v>8.5</v>
      </c>
      <c r="H57" s="1">
        <v>42</v>
      </c>
      <c r="I57" s="6">
        <f t="shared" si="1"/>
        <v>74033.421052631587</v>
      </c>
      <c r="J57" s="1"/>
      <c r="K57" s="1" t="s">
        <v>25</v>
      </c>
      <c r="L57" s="1"/>
      <c r="M57" s="5">
        <f t="shared" si="2"/>
        <v>74033.421052631587</v>
      </c>
      <c r="N57" s="2">
        <v>609</v>
      </c>
    </row>
    <row r="58" spans="1:14" x14ac:dyDescent="0.4">
      <c r="A58" s="1">
        <v>100057</v>
      </c>
      <c r="B58" s="1"/>
      <c r="C58" s="1"/>
      <c r="D58" s="1"/>
      <c r="E58" s="1"/>
      <c r="F58" s="1"/>
      <c r="G58" s="1">
        <v>9</v>
      </c>
      <c r="H58" s="1">
        <v>42.5</v>
      </c>
      <c r="I58" s="6">
        <f t="shared" si="1"/>
        <v>74830.789473684214</v>
      </c>
      <c r="J58" s="1"/>
      <c r="K58" s="1" t="s">
        <v>25</v>
      </c>
      <c r="L58" s="1"/>
      <c r="M58" s="5">
        <f t="shared" si="2"/>
        <v>74830.789473684214</v>
      </c>
      <c r="N58" s="2">
        <v>619</v>
      </c>
    </row>
    <row r="59" spans="1:14" x14ac:dyDescent="0.4">
      <c r="A59" s="1">
        <v>100058</v>
      </c>
      <c r="B59" s="1"/>
      <c r="C59" s="1"/>
      <c r="D59" s="1"/>
      <c r="E59" s="1"/>
      <c r="F59" s="1"/>
      <c r="G59" s="1">
        <v>9.5</v>
      </c>
      <c r="H59" s="1">
        <v>43</v>
      </c>
      <c r="I59" s="6">
        <f t="shared" si="1"/>
        <v>77222.894736842107</v>
      </c>
      <c r="J59" s="1"/>
      <c r="K59" s="1" t="s">
        <v>25</v>
      </c>
      <c r="L59" s="1"/>
      <c r="M59" s="5">
        <f t="shared" si="2"/>
        <v>77222.894736842107</v>
      </c>
      <c r="N59" s="2">
        <v>649</v>
      </c>
    </row>
    <row r="60" spans="1:14" x14ac:dyDescent="0.4">
      <c r="A60" s="1">
        <v>100059</v>
      </c>
      <c r="B60" s="1"/>
      <c r="C60" s="1"/>
      <c r="D60" s="1"/>
      <c r="E60" s="1"/>
      <c r="F60" s="1"/>
      <c r="G60" s="1">
        <v>10</v>
      </c>
      <c r="H60" s="1">
        <v>44</v>
      </c>
      <c r="I60" s="6">
        <f t="shared" si="1"/>
        <v>77222.894736842107</v>
      </c>
      <c r="J60" s="1"/>
      <c r="K60" s="1" t="s">
        <v>25</v>
      </c>
      <c r="L60" s="1"/>
      <c r="M60" s="5">
        <f t="shared" si="2"/>
        <v>77222.894736842107</v>
      </c>
      <c r="N60" s="2">
        <v>649</v>
      </c>
    </row>
    <row r="61" spans="1:14" x14ac:dyDescent="0.4">
      <c r="A61" s="1">
        <v>100060</v>
      </c>
      <c r="B61" s="1"/>
      <c r="C61" s="1"/>
      <c r="D61" s="1"/>
      <c r="E61" s="1"/>
      <c r="F61" s="1"/>
      <c r="G61" s="1">
        <v>10.5</v>
      </c>
      <c r="H61" s="1">
        <v>44.5</v>
      </c>
      <c r="I61" s="6">
        <f t="shared" si="1"/>
        <v>81209.736842105267</v>
      </c>
      <c r="J61" s="1"/>
      <c r="K61" s="1" t="s">
        <v>25</v>
      </c>
      <c r="L61" s="1"/>
      <c r="M61" s="5">
        <f t="shared" si="2"/>
        <v>81209.736842105267</v>
      </c>
      <c r="N61" s="2">
        <v>699</v>
      </c>
    </row>
    <row r="62" spans="1:14" x14ac:dyDescent="0.4">
      <c r="A62" s="1">
        <v>100061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4" x14ac:dyDescent="0.4">
      <c r="A63" s="1">
        <v>100062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4" x14ac:dyDescent="0.4">
      <c r="A64" s="1">
        <v>100063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4">
      <c r="A65" s="1">
        <v>100064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4">
      <c r="A66" s="1">
        <v>100065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4">
      <c r="A67" s="1">
        <v>100066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4">
      <c r="A68" s="1">
        <v>100067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4">
      <c r="A69" s="9">
        <v>100068</v>
      </c>
    </row>
    <row r="70" spans="1:12" x14ac:dyDescent="0.4">
      <c r="A70" s="1">
        <v>100069</v>
      </c>
    </row>
    <row r="71" spans="1:12" x14ac:dyDescent="0.4">
      <c r="A71" s="1">
        <v>100070</v>
      </c>
    </row>
    <row r="72" spans="1:12" x14ac:dyDescent="0.4">
      <c r="A72" s="1">
        <v>100071</v>
      </c>
    </row>
    <row r="73" spans="1:12" x14ac:dyDescent="0.4">
      <c r="A73" s="1">
        <v>100072</v>
      </c>
    </row>
    <row r="74" spans="1:12" x14ac:dyDescent="0.4">
      <c r="A74" s="1">
        <v>100073</v>
      </c>
    </row>
    <row r="75" spans="1:12" x14ac:dyDescent="0.4">
      <c r="A75" s="1">
        <v>100074</v>
      </c>
    </row>
    <row r="76" spans="1:12" x14ac:dyDescent="0.4">
      <c r="A76" s="1">
        <v>100075</v>
      </c>
    </row>
    <row r="77" spans="1:12" x14ac:dyDescent="0.4">
      <c r="A77" s="1">
        <v>100076</v>
      </c>
    </row>
    <row r="78" spans="1:12" x14ac:dyDescent="0.4">
      <c r="A78" s="1">
        <v>100077</v>
      </c>
    </row>
    <row r="79" spans="1:12" x14ac:dyDescent="0.4">
      <c r="A79" s="1">
        <v>100078</v>
      </c>
    </row>
    <row r="80" spans="1:12" x14ac:dyDescent="0.4">
      <c r="A80" s="1">
        <v>100079</v>
      </c>
    </row>
    <row r="81" spans="1:1" x14ac:dyDescent="0.4">
      <c r="A81" s="1">
        <v>100080</v>
      </c>
    </row>
    <row r="82" spans="1:1" x14ac:dyDescent="0.4">
      <c r="A82" s="1">
        <v>100081</v>
      </c>
    </row>
    <row r="83" spans="1:1" x14ac:dyDescent="0.4">
      <c r="A83" s="1">
        <v>100082</v>
      </c>
    </row>
    <row r="84" spans="1:1" x14ac:dyDescent="0.4">
      <c r="A84" s="1">
        <v>100083</v>
      </c>
    </row>
    <row r="85" spans="1:1" x14ac:dyDescent="0.4">
      <c r="A85" s="1">
        <v>100084</v>
      </c>
    </row>
    <row r="86" spans="1:1" x14ac:dyDescent="0.4">
      <c r="A86" s="1">
        <v>100085</v>
      </c>
    </row>
    <row r="87" spans="1:1" x14ac:dyDescent="0.4">
      <c r="A87" s="1">
        <v>100086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opLeftCell="A11" workbookViewId="0">
      <selection activeCell="K36" sqref="K36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6">
        <f>M2</f>
        <v>71641.315789473694</v>
      </c>
      <c r="J2" s="1"/>
      <c r="K2" s="1" t="s">
        <v>25</v>
      </c>
      <c r="L2" s="1"/>
      <c r="M2" s="5">
        <f>(N2*75+N2*75*0.01+15000+4200+5000)/0.95</f>
        <v>71641.315789473694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6">
        <f t="shared" ref="I3:I33" si="0">M3</f>
        <v>71641.315789473694</v>
      </c>
      <c r="J3" s="1"/>
      <c r="K3" s="1" t="s">
        <v>25</v>
      </c>
      <c r="L3" s="1"/>
      <c r="M3" s="5">
        <f t="shared" ref="M3:M33" si="1">(N3*75+N3*75*0.01+15000+4200+5000)/0.95</f>
        <v>71641.315789473694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6">
        <f t="shared" si="0"/>
        <v>71641.315789473694</v>
      </c>
      <c r="J4" s="1"/>
      <c r="K4" s="1" t="s">
        <v>25</v>
      </c>
      <c r="L4" s="1"/>
      <c r="M4" s="5">
        <f t="shared" si="1"/>
        <v>71641.315789473694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6">
        <f t="shared" si="0"/>
        <v>71641.315789473694</v>
      </c>
      <c r="J5" s="1"/>
      <c r="K5" s="1" t="s">
        <v>25</v>
      </c>
      <c r="L5" s="1"/>
      <c r="M5" s="5">
        <f t="shared" si="1"/>
        <v>71641.315789473694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6">
        <f t="shared" si="0"/>
        <v>71641.315789473694</v>
      </c>
      <c r="J6" s="1"/>
      <c r="K6" s="1" t="s">
        <v>25</v>
      </c>
      <c r="L6" s="1"/>
      <c r="M6" s="5">
        <f t="shared" si="1"/>
        <v>71641.315789473694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6">
        <f t="shared" si="0"/>
        <v>71641.315789473694</v>
      </c>
      <c r="J7" s="1"/>
      <c r="K7" s="1" t="s">
        <v>25</v>
      </c>
      <c r="L7" s="1"/>
      <c r="M7" s="5">
        <f t="shared" si="1"/>
        <v>71641.315789473694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6">
        <f t="shared" si="0"/>
        <v>71641.315789473694</v>
      </c>
      <c r="J8" s="1"/>
      <c r="K8" s="1" t="s">
        <v>25</v>
      </c>
      <c r="L8" s="1"/>
      <c r="M8" s="5">
        <f t="shared" si="1"/>
        <v>71641.315789473694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6">
        <f t="shared" si="0"/>
        <v>71641.315789473694</v>
      </c>
      <c r="J9" s="1"/>
      <c r="K9" s="1" t="s">
        <v>25</v>
      </c>
      <c r="L9" s="1"/>
      <c r="M9" s="5">
        <f t="shared" si="1"/>
        <v>71641.315789473694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6">
        <f t="shared" si="0"/>
        <v>71641.315789473694</v>
      </c>
      <c r="J10" s="1"/>
      <c r="K10" s="1" t="s">
        <v>25</v>
      </c>
      <c r="L10" s="1"/>
      <c r="M10" s="5">
        <f t="shared" si="1"/>
        <v>71641.315789473694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6">
        <f t="shared" si="0"/>
        <v>71641.315789473694</v>
      </c>
      <c r="J11" s="1"/>
      <c r="K11" s="1" t="s">
        <v>25</v>
      </c>
      <c r="L11" s="1"/>
      <c r="M11" s="5">
        <f t="shared" si="1"/>
        <v>71641.315789473694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6">
        <f t="shared" si="0"/>
        <v>71641.315789473694</v>
      </c>
      <c r="J12" s="1"/>
      <c r="K12" s="1" t="s">
        <v>25</v>
      </c>
      <c r="L12" s="1"/>
      <c r="M12" s="5">
        <f t="shared" si="1"/>
        <v>71641.315789473694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6">
        <f t="shared" si="0"/>
        <v>71641.315789473694</v>
      </c>
      <c r="J13" s="1"/>
      <c r="K13" s="1" t="s">
        <v>25</v>
      </c>
      <c r="L13" s="1"/>
      <c r="M13" s="5">
        <f t="shared" si="1"/>
        <v>71641.315789473694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6">
        <f t="shared" si="0"/>
        <v>71641.315789473694</v>
      </c>
      <c r="J14" s="1"/>
      <c r="K14" s="1" t="s">
        <v>25</v>
      </c>
      <c r="L14" s="1"/>
      <c r="M14" s="5">
        <f t="shared" si="1"/>
        <v>71641.315789473694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6">
        <f t="shared" si="0"/>
        <v>71641.315789473694</v>
      </c>
      <c r="J15" s="1"/>
      <c r="K15" s="1" t="s">
        <v>25</v>
      </c>
      <c r="L15" s="1"/>
      <c r="M15" s="5">
        <f t="shared" si="1"/>
        <v>71641.315789473694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6">
        <f t="shared" si="0"/>
        <v>71641.315789473694</v>
      </c>
      <c r="J16" s="1"/>
      <c r="K16" s="1" t="s">
        <v>25</v>
      </c>
      <c r="L16" s="1"/>
      <c r="M16" s="5">
        <f t="shared" si="1"/>
        <v>71641.315789473694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6">
        <f t="shared" si="0"/>
        <v>71641.315789473694</v>
      </c>
      <c r="J17" s="1"/>
      <c r="K17" s="1" t="s">
        <v>25</v>
      </c>
      <c r="L17" s="1"/>
      <c r="M17" s="5">
        <f t="shared" si="1"/>
        <v>71641.315789473694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6">
        <f t="shared" si="0"/>
        <v>71641.315789473694</v>
      </c>
      <c r="J18" s="1"/>
      <c r="K18" s="1" t="s">
        <v>25</v>
      </c>
      <c r="L18" s="1"/>
      <c r="M18" s="5">
        <f t="shared" si="1"/>
        <v>71641.315789473694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6">
        <f t="shared" si="0"/>
        <v>71641.315789473694</v>
      </c>
      <c r="J19" s="1"/>
      <c r="K19" s="1" t="s">
        <v>25</v>
      </c>
      <c r="L19" s="1"/>
      <c r="M19" s="5">
        <f t="shared" si="1"/>
        <v>71641.315789473694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6">
        <f t="shared" si="0"/>
        <v>71641.315789473694</v>
      </c>
      <c r="J20" s="1"/>
      <c r="K20" s="1" t="s">
        <v>25</v>
      </c>
      <c r="L20" s="1"/>
      <c r="M20" s="5">
        <f t="shared" si="1"/>
        <v>71641.315789473694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6">
        <f t="shared" si="0"/>
        <v>71641.315789473694</v>
      </c>
      <c r="J21" s="1"/>
      <c r="K21" s="1" t="s">
        <v>25</v>
      </c>
      <c r="L21" s="1"/>
      <c r="M21" s="5">
        <f t="shared" si="1"/>
        <v>71641.315789473694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6">
        <f t="shared" si="0"/>
        <v>71641.315789473694</v>
      </c>
      <c r="J22" s="1"/>
      <c r="K22" s="1" t="s">
        <v>25</v>
      </c>
      <c r="L22" s="1"/>
      <c r="M22" s="5">
        <f t="shared" si="1"/>
        <v>71641.315789473694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6">
        <f t="shared" si="0"/>
        <v>71641.315789473694</v>
      </c>
      <c r="J23" s="1"/>
      <c r="K23" s="1" t="s">
        <v>25</v>
      </c>
      <c r="L23" s="1"/>
      <c r="M23" s="5">
        <f t="shared" si="1"/>
        <v>71641.315789473694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6">
        <f t="shared" si="0"/>
        <v>71641.315789473694</v>
      </c>
      <c r="J24" s="1"/>
      <c r="K24" s="1" t="s">
        <v>25</v>
      </c>
      <c r="L24" s="1"/>
      <c r="M24" s="5">
        <f t="shared" si="1"/>
        <v>71641.315789473694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6">
        <f t="shared" si="0"/>
        <v>71641.315789473694</v>
      </c>
      <c r="J25" s="1"/>
      <c r="K25" s="1" t="s">
        <v>25</v>
      </c>
      <c r="L25" s="1"/>
      <c r="M25" s="5">
        <f t="shared" si="1"/>
        <v>71641.315789473694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6">
        <f t="shared" si="0"/>
        <v>71641.315789473694</v>
      </c>
      <c r="J26" s="1"/>
      <c r="K26" s="1" t="s">
        <v>25</v>
      </c>
      <c r="L26" s="1"/>
      <c r="M26" s="5">
        <f t="shared" si="1"/>
        <v>71641.315789473694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6">
        <f t="shared" si="0"/>
        <v>71641.315789473694</v>
      </c>
      <c r="J27" s="1"/>
      <c r="K27" s="1" t="s">
        <v>25</v>
      </c>
      <c r="L27" s="1"/>
      <c r="M27" s="5">
        <f t="shared" si="1"/>
        <v>71641.315789473694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6">
        <f t="shared" si="0"/>
        <v>71641.315789473694</v>
      </c>
      <c r="J28" s="1"/>
      <c r="K28" s="1" t="s">
        <v>25</v>
      </c>
      <c r="L28" s="1"/>
      <c r="M28" s="5">
        <f t="shared" si="1"/>
        <v>71641.315789473694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6">
        <f t="shared" si="0"/>
        <v>71641.315789473694</v>
      </c>
      <c r="J29" s="1"/>
      <c r="K29" s="1" t="s">
        <v>25</v>
      </c>
      <c r="L29" s="1"/>
      <c r="M29" s="5">
        <f t="shared" si="1"/>
        <v>71641.315789473694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6">
        <f t="shared" si="0"/>
        <v>71641.315789473694</v>
      </c>
      <c r="J30" s="1"/>
      <c r="K30" s="1" t="s">
        <v>25</v>
      </c>
      <c r="L30" s="1"/>
      <c r="M30" s="5">
        <f t="shared" si="1"/>
        <v>71641.315789473694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6">
        <f t="shared" si="0"/>
        <v>71641.315789473694</v>
      </c>
      <c r="J31" s="1"/>
      <c r="K31" s="1" t="s">
        <v>25</v>
      </c>
      <c r="L31" s="1"/>
      <c r="M31" s="5">
        <f t="shared" si="1"/>
        <v>71641.315789473694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6">
        <f t="shared" si="0"/>
        <v>71641.315789473694</v>
      </c>
      <c r="J32" s="1"/>
      <c r="K32" s="1" t="s">
        <v>25</v>
      </c>
      <c r="L32" s="1"/>
      <c r="M32" s="5">
        <f t="shared" si="1"/>
        <v>71641.315789473694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6">
        <f t="shared" si="0"/>
        <v>71641.315789473694</v>
      </c>
      <c r="J33" s="1"/>
      <c r="K33" s="1" t="s">
        <v>25</v>
      </c>
      <c r="L33" s="1"/>
      <c r="M33" s="5">
        <f t="shared" si="1"/>
        <v>71641.315789473694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M2" sqref="M2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6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6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6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6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6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6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6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6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6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6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6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6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6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6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6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6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6">
        <f t="shared" ref="I3:I9" si="0">M3</f>
        <v>43812.368421052633</v>
      </c>
      <c r="J3" s="1"/>
      <c r="K3" s="1" t="s">
        <v>25</v>
      </c>
      <c r="L3" s="1"/>
      <c r="M3" s="5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6">
        <f t="shared" si="0"/>
        <v>44609.736842105267</v>
      </c>
      <c r="J4" s="1"/>
      <c r="K4" s="1" t="s">
        <v>25</v>
      </c>
      <c r="L4" s="1"/>
      <c r="M4" s="5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6">
        <f t="shared" si="0"/>
        <v>43812.368421052633</v>
      </c>
      <c r="J5" s="1"/>
      <c r="K5" s="1" t="s">
        <v>25</v>
      </c>
      <c r="L5" s="1"/>
      <c r="M5" s="5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6">
        <f t="shared" si="0"/>
        <v>45407.1052631579</v>
      </c>
      <c r="J6" s="1"/>
      <c r="K6" s="1" t="s">
        <v>25</v>
      </c>
      <c r="L6" s="1"/>
      <c r="M6" s="5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6">
        <f t="shared" si="0"/>
        <v>47799.210526315794</v>
      </c>
      <c r="J7" s="1"/>
      <c r="K7" s="1" t="s">
        <v>25</v>
      </c>
      <c r="L7" s="1"/>
      <c r="M7" s="5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6">
        <f t="shared" si="0"/>
        <v>49393.947368421053</v>
      </c>
      <c r="J8" s="1"/>
      <c r="K8" s="1" t="s">
        <v>25</v>
      </c>
      <c r="L8" s="1"/>
      <c r="M8" s="5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6">
        <f t="shared" si="0"/>
        <v>48596.57894736842</v>
      </c>
      <c r="J9" s="1"/>
      <c r="K9" s="1" t="s">
        <v>25</v>
      </c>
      <c r="L9" s="1"/>
      <c r="M9" s="5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6"/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6">
        <f>M2</f>
        <v>49154.736842105267</v>
      </c>
      <c r="J2" s="1"/>
      <c r="K2" s="1" t="s">
        <v>32</v>
      </c>
      <c r="L2" s="1"/>
      <c r="M2" s="5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6">
        <f t="shared" ref="I3:I12" si="0">M3</f>
        <v>49154.736842105267</v>
      </c>
      <c r="J3" s="1"/>
      <c r="K3" s="1" t="s">
        <v>25</v>
      </c>
      <c r="L3" s="1"/>
      <c r="M3" s="5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6">
        <f t="shared" si="0"/>
        <v>49154.736842105267</v>
      </c>
      <c r="J4" s="1"/>
      <c r="K4" s="1" t="s">
        <v>25</v>
      </c>
      <c r="L4" s="1"/>
      <c r="M4" s="5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6">
        <f t="shared" si="0"/>
        <v>49154.736842105267</v>
      </c>
      <c r="J5" s="1"/>
      <c r="K5" s="1" t="s">
        <v>25</v>
      </c>
      <c r="L5" s="1"/>
      <c r="M5" s="5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6">
        <f t="shared" si="0"/>
        <v>49154.736842105267</v>
      </c>
      <c r="J6" s="1"/>
      <c r="K6" s="1" t="s">
        <v>25</v>
      </c>
      <c r="L6" s="1"/>
      <c r="M6" s="5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6">
        <f t="shared" si="0"/>
        <v>49154.736842105267</v>
      </c>
      <c r="J7" s="1"/>
      <c r="K7" s="1" t="s">
        <v>25</v>
      </c>
      <c r="L7" s="1"/>
      <c r="M7" s="5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6">
        <f t="shared" si="0"/>
        <v>49154.736842105267</v>
      </c>
      <c r="J8" s="1"/>
      <c r="K8" s="1" t="s">
        <v>25</v>
      </c>
      <c r="L8" s="1"/>
      <c r="M8" s="5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6">
        <f t="shared" si="0"/>
        <v>49154.736842105267</v>
      </c>
      <c r="J9" s="1"/>
      <c r="K9" s="1" t="s">
        <v>25</v>
      </c>
      <c r="L9" s="1"/>
      <c r="M9" s="5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6">
        <f t="shared" si="0"/>
        <v>49154.736842105267</v>
      </c>
      <c r="J10" s="1"/>
      <c r="K10" s="1" t="s">
        <v>25</v>
      </c>
      <c r="L10" s="1"/>
      <c r="M10" s="5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6">
        <f t="shared" si="0"/>
        <v>49154.736842105267</v>
      </c>
      <c r="J11" s="1"/>
      <c r="K11" s="1" t="s">
        <v>25</v>
      </c>
      <c r="L11" s="1"/>
      <c r="M11" s="5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6">
        <f t="shared" si="0"/>
        <v>49154.736842105267</v>
      </c>
      <c r="J12" s="1"/>
      <c r="K12" s="1" t="s">
        <v>25</v>
      </c>
      <c r="L12" s="1"/>
      <c r="M12" s="5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7DAE-5F88-4DCD-935A-6D905A01DBED}">
  <dimension ref="A1:N27"/>
  <sheetViews>
    <sheetView topLeftCell="B5" workbookViewId="0">
      <selection activeCell="H25" sqref="H25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6">
        <f>M2</f>
        <v>40303.947368421053</v>
      </c>
      <c r="J2" s="1"/>
      <c r="K2" s="1" t="s">
        <v>25</v>
      </c>
      <c r="L2" s="1"/>
      <c r="M2" s="5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6">
        <f t="shared" ref="I3:I25" si="0">M3</f>
        <v>39745.789473684214</v>
      </c>
      <c r="J3" s="1"/>
      <c r="K3" s="1" t="s">
        <v>25</v>
      </c>
      <c r="L3" s="1"/>
      <c r="M3" s="5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6">
        <f t="shared" si="0"/>
        <v>41021.57894736842</v>
      </c>
      <c r="J4" s="1"/>
      <c r="K4" s="1" t="s">
        <v>25</v>
      </c>
      <c r="L4" s="1"/>
      <c r="M4" s="5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6">
        <f t="shared" si="0"/>
        <v>40463.42105263158</v>
      </c>
      <c r="J5" s="1"/>
      <c r="K5" s="1" t="s">
        <v>25</v>
      </c>
      <c r="L5" s="1"/>
      <c r="M5" s="5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6">
        <f t="shared" si="0"/>
        <v>40463.42105263158</v>
      </c>
      <c r="J6" s="1"/>
      <c r="K6" s="1" t="s">
        <v>25</v>
      </c>
      <c r="L6" s="1"/>
      <c r="M6" s="5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6">
        <f t="shared" si="0"/>
        <v>39985</v>
      </c>
      <c r="J7" s="1"/>
      <c r="K7" s="1" t="s">
        <v>25</v>
      </c>
      <c r="L7" s="1"/>
      <c r="M7" s="5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6">
        <f t="shared" si="0"/>
        <v>39267.368421052633</v>
      </c>
      <c r="J8" s="1"/>
      <c r="K8" s="1" t="s">
        <v>25</v>
      </c>
      <c r="L8" s="1"/>
      <c r="M8" s="5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6">
        <f t="shared" si="0"/>
        <v>40941.84210526316</v>
      </c>
      <c r="J9" s="1"/>
      <c r="K9" s="1" t="s">
        <v>25</v>
      </c>
      <c r="L9" s="1"/>
      <c r="M9" s="5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6">
        <f t="shared" si="0"/>
        <v>47001.84210526316</v>
      </c>
      <c r="J10" s="1"/>
      <c r="K10" s="1" t="s">
        <v>25</v>
      </c>
      <c r="L10" s="1"/>
      <c r="M10" s="5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6">
        <f t="shared" si="0"/>
        <v>49393.947368421053</v>
      </c>
      <c r="J11" s="1"/>
      <c r="K11" s="1" t="s">
        <v>25</v>
      </c>
      <c r="L11" s="1"/>
      <c r="M11" s="5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8">
        <v>4.5</v>
      </c>
      <c r="H12" s="1">
        <v>34</v>
      </c>
      <c r="I12" s="6">
        <f t="shared" si="0"/>
        <v>17578.947368421053</v>
      </c>
      <c r="J12" s="1"/>
      <c r="K12" s="1" t="s">
        <v>32</v>
      </c>
      <c r="L12" s="1"/>
      <c r="M12" s="5">
        <f t="shared" si="1"/>
        <v>17578.947368421053</v>
      </c>
      <c r="N12" s="2"/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6">
        <f t="shared" si="0"/>
        <v>42217.631578947374</v>
      </c>
      <c r="J13" s="1"/>
      <c r="K13" s="1" t="s">
        <v>25</v>
      </c>
      <c r="L13" s="1"/>
      <c r="M13" s="5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8">
        <v>5.5</v>
      </c>
      <c r="H14" s="1">
        <v>36</v>
      </c>
      <c r="I14" s="6">
        <f t="shared" si="0"/>
        <v>41340.526315789473</v>
      </c>
      <c r="J14" s="1"/>
      <c r="K14" s="1" t="s">
        <v>25</v>
      </c>
      <c r="L14" s="1"/>
      <c r="M14" s="5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6">
        <f t="shared" si="0"/>
        <v>41101.315789473687</v>
      </c>
      <c r="J15" s="1"/>
      <c r="K15" s="1" t="s">
        <v>25</v>
      </c>
      <c r="L15" s="1"/>
      <c r="M15" s="5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8">
        <v>6.5</v>
      </c>
      <c r="H16" s="1">
        <v>38</v>
      </c>
      <c r="I16" s="6">
        <f t="shared" si="0"/>
        <v>42217.631578947374</v>
      </c>
      <c r="J16" s="1"/>
      <c r="K16" s="1" t="s">
        <v>25</v>
      </c>
      <c r="L16" s="1"/>
      <c r="M16" s="5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6">
        <f t="shared" si="0"/>
        <v>42775.789473684214</v>
      </c>
      <c r="J17" s="1"/>
      <c r="K17" s="1" t="s">
        <v>25</v>
      </c>
      <c r="L17" s="1"/>
      <c r="M17" s="5">
        <f t="shared" si="1"/>
        <v>42775.789473684214</v>
      </c>
      <c r="N17" s="2">
        <v>316</v>
      </c>
    </row>
    <row r="18" spans="1:14" x14ac:dyDescent="0.4">
      <c r="A18" s="1">
        <v>120017</v>
      </c>
      <c r="B18" s="7"/>
      <c r="C18" s="7"/>
      <c r="D18" s="7"/>
      <c r="E18" s="7"/>
      <c r="F18" s="7"/>
      <c r="G18" s="8">
        <v>7.5</v>
      </c>
      <c r="H18" s="1">
        <v>40</v>
      </c>
      <c r="I18" s="6">
        <f t="shared" si="0"/>
        <v>42775.789473684214</v>
      </c>
      <c r="J18" s="7"/>
      <c r="K18" s="1" t="s">
        <v>25</v>
      </c>
      <c r="L18" s="7"/>
      <c r="M18" s="5">
        <f t="shared" si="1"/>
        <v>42775.789473684214</v>
      </c>
      <c r="N18" s="2">
        <v>316</v>
      </c>
    </row>
    <row r="19" spans="1:14" x14ac:dyDescent="0.4">
      <c r="A19" s="1">
        <v>120018</v>
      </c>
      <c r="B19" s="7"/>
      <c r="C19" s="7"/>
      <c r="D19" s="7"/>
      <c r="E19" s="1" t="s">
        <v>43</v>
      </c>
      <c r="F19" s="7" t="s">
        <v>59</v>
      </c>
      <c r="G19" s="8">
        <v>4.5</v>
      </c>
      <c r="H19" s="1">
        <v>34</v>
      </c>
      <c r="I19" s="6">
        <f t="shared" si="0"/>
        <v>42775.789473684214</v>
      </c>
      <c r="J19" s="7"/>
      <c r="K19" s="1" t="s">
        <v>32</v>
      </c>
      <c r="L19" s="7"/>
      <c r="M19" s="5">
        <f t="shared" si="1"/>
        <v>42775.789473684214</v>
      </c>
      <c r="N19" s="2">
        <v>316</v>
      </c>
    </row>
    <row r="20" spans="1:14" x14ac:dyDescent="0.4">
      <c r="A20" s="1">
        <v>120019</v>
      </c>
      <c r="B20" s="7"/>
      <c r="C20" s="7"/>
      <c r="D20" s="7"/>
      <c r="E20" s="7"/>
      <c r="F20" s="7"/>
      <c r="G20" s="1">
        <v>5</v>
      </c>
      <c r="H20" s="1">
        <v>35</v>
      </c>
      <c r="I20" s="6">
        <f t="shared" si="0"/>
        <v>42775.789473684214</v>
      </c>
      <c r="J20" s="7"/>
      <c r="K20" s="1" t="s">
        <v>25</v>
      </c>
      <c r="L20" s="7"/>
      <c r="M20" s="5">
        <f t="shared" si="1"/>
        <v>42775.789473684214</v>
      </c>
      <c r="N20" s="2">
        <v>316</v>
      </c>
    </row>
    <row r="21" spans="1:14" x14ac:dyDescent="0.4">
      <c r="A21" s="1">
        <v>120020</v>
      </c>
      <c r="B21" s="7"/>
      <c r="C21" s="7"/>
      <c r="D21" s="7"/>
      <c r="E21" s="7"/>
      <c r="F21" s="7"/>
      <c r="G21" s="8">
        <v>5.5</v>
      </c>
      <c r="H21" s="1">
        <v>36</v>
      </c>
      <c r="I21" s="6">
        <f t="shared" si="0"/>
        <v>42775.789473684214</v>
      </c>
      <c r="J21" s="7"/>
      <c r="K21" s="1" t="s">
        <v>25</v>
      </c>
      <c r="L21" s="7"/>
      <c r="M21" s="5">
        <f t="shared" si="1"/>
        <v>42775.789473684214</v>
      </c>
      <c r="N21" s="2">
        <v>316</v>
      </c>
    </row>
    <row r="22" spans="1:14" x14ac:dyDescent="0.4">
      <c r="A22" s="1">
        <v>120021</v>
      </c>
      <c r="B22" s="7"/>
      <c r="C22" s="7"/>
      <c r="D22" s="7"/>
      <c r="E22" s="7"/>
      <c r="F22" s="7"/>
      <c r="G22" s="1">
        <v>6</v>
      </c>
      <c r="H22" s="1">
        <v>37</v>
      </c>
      <c r="I22" s="6">
        <f t="shared" si="0"/>
        <v>42217.631578947374</v>
      </c>
      <c r="J22" s="7"/>
      <c r="K22" s="1" t="s">
        <v>25</v>
      </c>
      <c r="L22" s="7"/>
      <c r="M22" s="5">
        <f t="shared" si="1"/>
        <v>42217.631578947374</v>
      </c>
      <c r="N22" s="2">
        <v>309</v>
      </c>
    </row>
    <row r="23" spans="1:14" x14ac:dyDescent="0.4">
      <c r="A23" s="1">
        <v>120022</v>
      </c>
      <c r="B23" s="7"/>
      <c r="C23" s="7"/>
      <c r="D23" s="7"/>
      <c r="E23" s="7"/>
      <c r="F23" s="7"/>
      <c r="G23" s="8">
        <v>6.5</v>
      </c>
      <c r="H23" s="1">
        <v>38</v>
      </c>
      <c r="I23" s="6">
        <f t="shared" si="0"/>
        <v>42217.631578947374</v>
      </c>
      <c r="J23" s="7"/>
      <c r="K23" s="1" t="s">
        <v>25</v>
      </c>
      <c r="L23" s="7"/>
      <c r="M23" s="5">
        <f t="shared" si="1"/>
        <v>42217.631578947374</v>
      </c>
      <c r="N23" s="2">
        <v>309</v>
      </c>
    </row>
    <row r="24" spans="1:14" x14ac:dyDescent="0.4">
      <c r="A24" s="1">
        <v>120023</v>
      </c>
      <c r="B24" s="7"/>
      <c r="C24" s="7"/>
      <c r="D24" s="7"/>
      <c r="E24" s="7"/>
      <c r="F24" s="7"/>
      <c r="G24" s="1">
        <v>7</v>
      </c>
      <c r="H24" s="1">
        <v>39</v>
      </c>
      <c r="I24" s="6">
        <f t="shared" si="0"/>
        <v>42217.631578947374</v>
      </c>
      <c r="J24" s="7"/>
      <c r="K24" s="1" t="s">
        <v>25</v>
      </c>
      <c r="L24" s="7"/>
      <c r="M24" s="5">
        <f t="shared" si="1"/>
        <v>42217.631578947374</v>
      </c>
      <c r="N24" s="2">
        <v>309</v>
      </c>
    </row>
    <row r="25" spans="1:14" x14ac:dyDescent="0.4">
      <c r="A25" s="1">
        <v>120024</v>
      </c>
      <c r="B25" s="7"/>
      <c r="C25" s="7"/>
      <c r="D25" s="7"/>
      <c r="E25" s="7"/>
      <c r="F25" s="7"/>
      <c r="G25" s="8">
        <v>7.5</v>
      </c>
      <c r="H25" s="1">
        <v>40</v>
      </c>
      <c r="I25" s="6">
        <f t="shared" si="0"/>
        <v>42217.631578947374</v>
      </c>
      <c r="J25" s="7"/>
      <c r="K25" s="1" t="s">
        <v>25</v>
      </c>
      <c r="L25" s="7"/>
      <c r="M25" s="5">
        <f t="shared" si="1"/>
        <v>42217.631578947374</v>
      </c>
      <c r="N25" s="2">
        <v>309</v>
      </c>
    </row>
    <row r="26" spans="1:14" x14ac:dyDescent="0.4">
      <c r="A26" s="1">
        <v>120025</v>
      </c>
      <c r="B26" s="7"/>
      <c r="C26" s="7"/>
      <c r="D26" s="7"/>
      <c r="E26" s="7"/>
      <c r="F26" s="7"/>
      <c r="G26" s="1"/>
      <c r="H26" s="1"/>
      <c r="I26" s="7"/>
      <c r="J26" s="7"/>
      <c r="K26" s="7"/>
      <c r="L26" s="7"/>
    </row>
    <row r="27" spans="1:14" x14ac:dyDescent="0.4">
      <c r="A27" s="1">
        <v>120026</v>
      </c>
      <c r="B27" s="7"/>
      <c r="C27" s="7"/>
      <c r="D27" s="7"/>
      <c r="E27" s="7"/>
      <c r="F27" s="7"/>
      <c r="G27" s="1"/>
      <c r="H27" s="1"/>
      <c r="I27" s="7"/>
      <c r="J27" s="7"/>
      <c r="K27" s="7"/>
      <c r="L2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Nike</vt:lpstr>
      <vt:lpstr>Mizuno</vt:lpstr>
      <vt:lpstr>Hoka</vt:lpstr>
      <vt:lpstr>The North Face</vt:lpstr>
      <vt:lpstr>Timberland</vt:lpstr>
      <vt:lpstr>Adidas</vt:lpstr>
      <vt:lpstr>Native</vt:lpstr>
      <vt:lpstr>Dickies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2025-11-23T10:25:33Z</dcterms:modified>
</cp:coreProperties>
</file>