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70D8E3B1-BEA7-44B3-A6C2-EAAB3776B251}" xr6:coauthVersionLast="47" xr6:coauthVersionMax="47" xr10:uidLastSave="{00000000-0000-0000-0000-000000000000}"/>
  <bookViews>
    <workbookView xWindow="-103" yWindow="-103" windowWidth="22149" windowHeight="11829" activeTab="4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32" i="3" l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I41" i="3" s="1"/>
  <c r="M42" i="3"/>
  <c r="I42" i="3" s="1"/>
  <c r="M43" i="3"/>
  <c r="I43" i="3" s="1"/>
  <c r="M44" i="3"/>
  <c r="I44" i="3" s="1"/>
  <c r="M45" i="3"/>
  <c r="I45" i="3" s="1"/>
  <c r="M46" i="3"/>
  <c r="I46" i="3" s="1"/>
  <c r="I32" i="3"/>
  <c r="M9" i="3"/>
  <c r="I9" i="3" s="1"/>
  <c r="M10" i="3"/>
  <c r="I10" i="3" s="1"/>
  <c r="M11" i="3"/>
  <c r="I11" i="3" s="1"/>
  <c r="M12" i="3"/>
  <c r="M13" i="3"/>
  <c r="M14" i="3"/>
  <c r="M15" i="3"/>
  <c r="M16" i="3"/>
  <c r="M17" i="3"/>
  <c r="I17" i="3" s="1"/>
  <c r="I12" i="3"/>
  <c r="I13" i="3"/>
  <c r="I14" i="3"/>
  <c r="I15" i="3"/>
  <c r="I16" i="3"/>
  <c r="M3" i="3"/>
  <c r="I3" i="3" s="1"/>
  <c r="M4" i="3"/>
  <c r="I4" i="3" s="1"/>
  <c r="M5" i="3"/>
  <c r="I5" i="3" s="1"/>
  <c r="M6" i="3"/>
  <c r="I6" i="3" s="1"/>
  <c r="M7" i="3"/>
  <c r="I7" i="3" s="1"/>
  <c r="M8" i="3"/>
  <c r="I8" i="3" s="1"/>
  <c r="M18" i="3"/>
  <c r="I18" i="3" s="1"/>
  <c r="M19" i="3"/>
  <c r="I19" i="3" s="1"/>
  <c r="M20" i="3"/>
  <c r="I20" i="3" s="1"/>
  <c r="M21" i="3"/>
  <c r="I21" i="3" s="1"/>
  <c r="M22" i="3"/>
  <c r="I22" i="3" s="1"/>
  <c r="M23" i="3"/>
  <c r="I23" i="3" s="1"/>
  <c r="M24" i="3"/>
  <c r="I24" i="3" s="1"/>
  <c r="M25" i="3"/>
  <c r="I25" i="3" s="1"/>
  <c r="M26" i="3"/>
  <c r="I26" i="3" s="1"/>
  <c r="M27" i="3"/>
  <c r="I27" i="3" s="1"/>
  <c r="M28" i="3"/>
  <c r="I28" i="3" s="1"/>
  <c r="M29" i="3"/>
  <c r="I29" i="3" s="1"/>
  <c r="M30" i="3"/>
  <c r="I30" i="3" s="1"/>
  <c r="M31" i="3"/>
  <c r="I31" i="3" s="1"/>
  <c r="M2" i="3"/>
  <c r="I2" i="3" s="1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<sst xmlns="http://schemas.openxmlformats.org/spreadsheetml/2006/main" count="217" uniqueCount="47">
  <si>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</si>
  <si>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</si>
  <si>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</si>
  <si>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</si>
  <si>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</si>
  <si>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</si>
  <si>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</si>
  <si>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</si>
  <si>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</si>
  <si>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</si>
  <si>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</si>
  <si>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</si>
  <si>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</si>
  <si>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</si>
  <si>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</si>
  <si>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</si>
  <si>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</si>
  <si>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</si>
  <si>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</si>
  <si>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</si>
  <si>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</si>
  <si>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</si>
  <si>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</si>
  <si>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</si>
  <si>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</si>
  <si>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</si>
  <si>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</si>
  <si>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</si>
  <si>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</si>
  <si>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</si>
  <si>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</si>
  <si>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</si>
  <si>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</si>
  <si>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</si>
  <si>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</si>
  <si>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</si>
  <si>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</si>
  <si>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</si>
  <si>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</si>
  <si>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</si>
  <si>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</si>
  <si>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</si>
  <si>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</si>
  <si>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</si>
  <si>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</si>
  <si>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</si>
  <si>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1000031_1 1000031_2 1000031_3 1000031_4 1000031_5 1000031_6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</si>
</sst>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46"/>
  <sheetViews>
    <sheetView topLeftCell="A19" workbookViewId="0">
      <selection activeCell="F37" sqref="F37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63746.578947368427</v>
      </c>
      <c r="J2" s="1"/>
      <c r="K2" s="1" t="s">
        <v>25</v>
      </c>
      <c r="L2" s="1"/>
      <c r="M2" s="5">
        <f>(N2*75+N2*75*0.01+12500+4200)/0.95</f>
        <v>63746.578947368427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46" si="0">M3</f>
        <v>63746.578947368427</v>
      </c>
      <c r="J3" s="1"/>
      <c r="K3" s="1" t="s">
        <v>25</v>
      </c>
      <c r="L3" s="1"/>
      <c r="M3" s="5">
        <f t="shared" ref="M3:M46" si="1">(N3*75+N3*75*0.01+12500+4200)/0.95</f>
        <v>63746.578947368427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0"/>
        <v>63746.578947368427</v>
      </c>
      <c r="J4" s="1"/>
      <c r="K4" s="1" t="s">
        <v>25</v>
      </c>
      <c r="L4" s="1"/>
      <c r="M4" s="5">
        <f t="shared" si="1"/>
        <v>63746.578947368427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0"/>
        <v>63746.578947368427</v>
      </c>
      <c r="J5" s="1"/>
      <c r="K5" s="1" t="s">
        <v>25</v>
      </c>
      <c r="L5" s="1"/>
      <c r="M5" s="5">
        <f t="shared" si="1"/>
        <v>63746.578947368427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0"/>
        <v>63746.578947368427</v>
      </c>
      <c r="J6" s="1"/>
      <c r="K6" s="1" t="s">
        <v>25</v>
      </c>
      <c r="L6" s="1"/>
      <c r="M6" s="5">
        <f t="shared" si="1"/>
        <v>63746.578947368427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0"/>
        <v>63746.578947368427</v>
      </c>
      <c r="J7" s="1"/>
      <c r="K7" s="1" t="s">
        <v>25</v>
      </c>
      <c r="L7" s="1"/>
      <c r="M7" s="5">
        <f t="shared" si="1"/>
        <v>63746.578947368427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0"/>
        <v>63746.578947368427</v>
      </c>
      <c r="J8" s="1"/>
      <c r="K8" s="1" t="s">
        <v>25</v>
      </c>
      <c r="L8" s="1"/>
      <c r="M8" s="5">
        <f t="shared" si="1"/>
        <v>63746.578947368427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0"/>
        <v>63746.578947368427</v>
      </c>
      <c r="J9" s="1"/>
      <c r="K9" s="1" t="s">
        <v>25</v>
      </c>
      <c r="L9" s="1"/>
      <c r="M9" s="5">
        <f t="shared" si="1"/>
        <v>63746.578947368427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0"/>
        <v>63746.578947368427</v>
      </c>
      <c r="J10" s="1"/>
      <c r="K10" s="1" t="s">
        <v>25</v>
      </c>
      <c r="L10" s="1"/>
      <c r="M10" s="5">
        <f t="shared" si="1"/>
        <v>63746.578947368427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0"/>
        <v>63746.578947368427</v>
      </c>
      <c r="J11" s="1"/>
      <c r="K11" s="1" t="s">
        <v>25</v>
      </c>
      <c r="L11" s="1"/>
      <c r="M11" s="5">
        <f t="shared" si="1"/>
        <v>63746.578947368427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0"/>
        <v>63746.578947368427</v>
      </c>
      <c r="J12" s="1"/>
      <c r="K12" s="1" t="s">
        <v>25</v>
      </c>
      <c r="L12" s="1"/>
      <c r="M12" s="5">
        <f t="shared" si="1"/>
        <v>63746.578947368427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0"/>
        <v>63746.578947368427</v>
      </c>
      <c r="J13" s="1"/>
      <c r="K13" s="1" t="s">
        <v>25</v>
      </c>
      <c r="L13" s="1"/>
      <c r="M13" s="5">
        <f t="shared" si="1"/>
        <v>63746.578947368427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0"/>
        <v>63746.578947368427</v>
      </c>
      <c r="J14" s="1"/>
      <c r="K14" s="1" t="s">
        <v>25</v>
      </c>
      <c r="L14" s="1"/>
      <c r="M14" s="5">
        <f t="shared" si="1"/>
        <v>63746.578947368427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0"/>
        <v>63746.578947368427</v>
      </c>
      <c r="J15" s="1"/>
      <c r="K15" s="1" t="s">
        <v>25</v>
      </c>
      <c r="L15" s="1"/>
      <c r="M15" s="5">
        <f t="shared" si="1"/>
        <v>63746.578947368427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0"/>
        <v>63746.578947368427</v>
      </c>
      <c r="J16" s="1"/>
      <c r="K16" s="1" t="s">
        <v>25</v>
      </c>
      <c r="L16" s="1"/>
      <c r="M16" s="5">
        <f t="shared" si="1"/>
        <v>63746.578947368427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0"/>
        <v>63746.578947368427</v>
      </c>
      <c r="J17" s="1"/>
      <c r="K17" s="1" t="s">
        <v>25</v>
      </c>
      <c r="L17" s="1"/>
      <c r="M17" s="5">
        <f t="shared" si="1"/>
        <v>63746.578947368427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0"/>
        <v>63746.578947368427</v>
      </c>
      <c r="J18" s="1"/>
      <c r="K18" s="1" t="s">
        <v>25</v>
      </c>
      <c r="L18" s="1"/>
      <c r="M18" s="5">
        <f t="shared" si="1"/>
        <v>63746.578947368427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0"/>
        <v>63746.578947368427</v>
      </c>
      <c r="J19" s="1"/>
      <c r="K19" s="1" t="s">
        <v>25</v>
      </c>
      <c r="L19" s="1"/>
      <c r="M19" s="5">
        <f t="shared" si="1"/>
        <v>63746.578947368427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0"/>
        <v>63746.578947368427</v>
      </c>
      <c r="J20" s="1"/>
      <c r="K20" s="1" t="s">
        <v>25</v>
      </c>
      <c r="L20" s="1"/>
      <c r="M20" s="5">
        <f t="shared" si="1"/>
        <v>63746.578947368427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0"/>
        <v>63746.578947368427</v>
      </c>
      <c r="J21" s="1"/>
      <c r="K21" s="1" t="s">
        <v>25</v>
      </c>
      <c r="L21" s="1"/>
      <c r="M21" s="5">
        <f t="shared" si="1"/>
        <v>63746.578947368427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0"/>
        <v>63746.578947368427</v>
      </c>
      <c r="J22" s="1"/>
      <c r="K22" s="1" t="s">
        <v>25</v>
      </c>
      <c r="L22" s="1"/>
      <c r="M22" s="5">
        <f t="shared" si="1"/>
        <v>63746.578947368427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0"/>
        <v>63746.578947368427</v>
      </c>
      <c r="J23" s="1"/>
      <c r="K23" s="1" t="s">
        <v>25</v>
      </c>
      <c r="L23" s="1"/>
      <c r="M23" s="5">
        <f t="shared" si="1"/>
        <v>63746.578947368427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0"/>
        <v>63746.578947368427</v>
      </c>
      <c r="J24" s="1"/>
      <c r="K24" s="1" t="s">
        <v>25</v>
      </c>
      <c r="L24" s="1"/>
      <c r="M24" s="5">
        <f t="shared" si="1"/>
        <v>63746.578947368427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0"/>
        <v>63746.578947368427</v>
      </c>
      <c r="J25" s="1"/>
      <c r="K25" s="1" t="s">
        <v>25</v>
      </c>
      <c r="L25" s="1"/>
      <c r="M25" s="5">
        <f t="shared" si="1"/>
        <v>63746.578947368427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0"/>
        <v>63746.578947368427</v>
      </c>
      <c r="J26" s="1"/>
      <c r="K26" s="1" t="s">
        <v>25</v>
      </c>
      <c r="L26" s="1"/>
      <c r="M26" s="5">
        <f t="shared" si="1"/>
        <v>63746.578947368427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0"/>
        <v>63746.578947368427</v>
      </c>
      <c r="J27" s="1"/>
      <c r="K27" s="1" t="s">
        <v>25</v>
      </c>
      <c r="L27" s="1"/>
      <c r="M27" s="5">
        <f t="shared" si="1"/>
        <v>63746.578947368427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0"/>
        <v>63746.578947368427</v>
      </c>
      <c r="J28" s="1"/>
      <c r="K28" s="1" t="s">
        <v>25</v>
      </c>
      <c r="L28" s="1"/>
      <c r="M28" s="5">
        <f t="shared" si="1"/>
        <v>63746.578947368427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0"/>
        <v>63746.578947368427</v>
      </c>
      <c r="J29" s="1"/>
      <c r="K29" s="1" t="s">
        <v>25</v>
      </c>
      <c r="L29" s="1"/>
      <c r="M29" s="5">
        <f t="shared" si="1"/>
        <v>63746.578947368427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0"/>
        <v>63746.578947368427</v>
      </c>
      <c r="J30" s="1"/>
      <c r="K30" s="1" t="s">
        <v>25</v>
      </c>
      <c r="L30" s="1"/>
      <c r="M30" s="5">
        <f t="shared" si="1"/>
        <v>63746.578947368427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0"/>
        <v>63746.578947368427</v>
      </c>
      <c r="J31" s="1"/>
      <c r="K31" s="1" t="s">
        <v>25</v>
      </c>
      <c r="L31" s="1"/>
      <c r="M31" s="5">
        <f t="shared" si="1"/>
        <v>63746.578947368427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0"/>
        <v>17578.947368421053</v>
      </c>
      <c r="J32" s="1"/>
      <c r="K32" s="1" t="s">
        <v>32</v>
      </c>
      <c r="L32" s="1"/>
      <c r="M32" s="5">
        <f t="shared" si="1"/>
        <v>17578.947368421053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0"/>
        <v>73315</v>
      </c>
      <c r="J33" s="1"/>
      <c r="K33" s="1" t="s">
        <v>25</v>
      </c>
      <c r="L33" s="1"/>
      <c r="M33" s="5">
        <f t="shared" si="1"/>
        <v>73315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0"/>
        <v>65341.315789473687</v>
      </c>
      <c r="J34" s="1"/>
      <c r="K34" s="1" t="s">
        <v>25</v>
      </c>
      <c r="L34" s="1"/>
      <c r="M34" s="5">
        <f t="shared" si="1"/>
        <v>65341.315789473687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0"/>
        <v>17578.947368421053</v>
      </c>
      <c r="J35" s="1"/>
      <c r="K35" s="1" t="s">
        <v>32</v>
      </c>
      <c r="L35" s="1"/>
      <c r="M35" s="5">
        <f t="shared" si="1"/>
        <v>17578.947368421053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0"/>
        <v>65341.315789473687</v>
      </c>
      <c r="J36" s="1"/>
      <c r="K36" s="1" t="s">
        <v>25</v>
      </c>
      <c r="L36" s="1"/>
      <c r="M36" s="5">
        <f t="shared" si="1"/>
        <v>65341.315789473687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0"/>
        <v>56570.26315789474</v>
      </c>
      <c r="J37" s="1"/>
      <c r="K37" s="1" t="s">
        <v>25</v>
      </c>
      <c r="L37" s="1"/>
      <c r="M37" s="5">
        <f t="shared" si="1"/>
        <v>56570.26315789474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0"/>
        <v>50191.315789473687</v>
      </c>
      <c r="J38" s="1"/>
      <c r="K38" s="1" t="s">
        <v>25</v>
      </c>
      <c r="L38" s="1"/>
      <c r="M38" s="5">
        <f t="shared" si="1"/>
        <v>50191.315789473687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0"/>
        <v>55772.894736842107</v>
      </c>
      <c r="J39" s="1"/>
      <c r="K39" s="1" t="s">
        <v>25</v>
      </c>
      <c r="L39" s="1"/>
      <c r="M39" s="5">
        <f t="shared" si="1"/>
        <v>55772.894736842107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0"/>
        <v>57367.631578947374</v>
      </c>
      <c r="J40" s="1"/>
      <c r="K40" s="1" t="s">
        <v>25</v>
      </c>
      <c r="L40" s="1"/>
      <c r="M40" s="5">
        <f t="shared" si="1"/>
        <v>57367.631578947374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0"/>
        <v>143563.15789473685</v>
      </c>
      <c r="J41" s="1"/>
      <c r="K41" s="1" t="s">
        <v>25</v>
      </c>
      <c r="L41" s="1"/>
      <c r="M41" s="5">
        <f t="shared" si="1"/>
        <v>143563.15789473685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0"/>
        <v>136626.05263157896</v>
      </c>
      <c r="J42" s="1"/>
      <c r="K42" s="1" t="s">
        <v>25</v>
      </c>
      <c r="L42" s="1"/>
      <c r="M42" s="5">
        <f t="shared" si="1"/>
        <v>136626.05263157896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0"/>
        <v>69647.105263157893</v>
      </c>
      <c r="J43" s="1"/>
      <c r="K43" s="1" t="s">
        <v>25</v>
      </c>
      <c r="L43" s="1"/>
      <c r="M43" s="5">
        <f t="shared" si="1"/>
        <v>69647.105263157893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0"/>
        <v>65341.315789473687</v>
      </c>
      <c r="J44" s="1"/>
      <c r="K44" s="1" t="s">
        <v>25</v>
      </c>
      <c r="L44" s="1"/>
      <c r="M44" s="5">
        <f t="shared" si="1"/>
        <v>65341.315789473687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0"/>
        <v>87029.736842105267</v>
      </c>
      <c r="J45" s="1"/>
      <c r="K45" s="1" t="s">
        <v>25</v>
      </c>
      <c r="L45" s="1"/>
      <c r="M45" s="5">
        <f t="shared" si="1"/>
        <v>87029.736842105267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0"/>
        <v>73155.526315789481</v>
      </c>
      <c r="J46" s="1"/>
      <c r="K46" s="1" t="s">
        <v>25</v>
      </c>
      <c r="L46" s="1"/>
      <c r="M46" s="5">
        <f t="shared" si="1"/>
        <v>73155.526315789481</v>
      </c>
      <c r="N46" s="2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2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1">
        <v>60000</v>
      </c>
      <c r="J2" s="1"/>
      <c r="K2" s="1" t="s">
        <v>25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25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25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25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25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25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25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1">
        <v>60000</v>
      </c>
      <c r="J9" s="1"/>
      <c r="K9" s="1" t="s">
        <v>25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25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25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25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25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25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25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25</v>
      </c>
      <c r="L16" s="1"/>
    </row>
    <row r="17" spans="1:12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1">
        <v>60000</v>
      </c>
      <c r="J17" s="1"/>
      <c r="K17" s="1" t="s">
        <v>25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25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25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25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25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25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25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25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25</v>
      </c>
      <c r="L25" s="1"/>
    </row>
    <row r="26" spans="1:12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1">
        <v>60000</v>
      </c>
      <c r="J26" s="1"/>
      <c r="K26" s="1" t="s">
        <v>25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25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25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25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25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25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25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25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workbookViewId="0">
      <selection activeCell="I2" sqref="I2:I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1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1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1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1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1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1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1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1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1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1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1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1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1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1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1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1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tabSelected="1" topLeftCell="D1"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Nike</vt:lpstr>
      <vt:lpstr>Mizuno</vt:lpstr>
      <vt:lpstr>Hoka</vt:lpstr>
      <vt:lpstr>The North Face</vt:lpstr>
      <vt:lpstr>Timberland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2025-11-14T12:07:04Z</dcterms:modified>
</cp:coreProperties>
</file>