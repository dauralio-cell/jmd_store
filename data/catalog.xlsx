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BC33E12D-70B6-47CD-A339-477372EEFD93}" xr6:coauthVersionLast="47" xr6:coauthVersionMax="47" xr10:uidLastSave="{00000000-0000-0000-0000-000000000000}"/>
  <bookViews>
    <workbookView xWindow="-103" yWindow="-103" windowWidth="22149" windowHeight="11829" activeTab="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 name="Asics" sheetId="16" r:id="rId10"/>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22" i="16" l="1"/>
  <c r="I22" i="16" s="1"/>
  <c r="M21" i="16"/>
  <c r="I21" i="16" s="1"/>
  <c r="M20" i="16"/>
  <c r="I20" i="16" s="1"/>
  <c r="M19" i="16"/>
  <c r="I19" i="16"/>
  <c r="M18" i="16"/>
  <c r="I18" i="16"/>
  <c r="M17" i="16"/>
  <c r="I17" i="16" s="1"/>
  <c r="M16" i="16"/>
  <c r="I16" i="16"/>
  <c r="M15" i="16"/>
  <c r="I15" i="16"/>
  <c r="M14" i="16"/>
  <c r="I14" i="16"/>
  <c r="M13" i="16"/>
  <c r="I13" i="16"/>
  <c r="M12" i="16"/>
  <c r="I12" i="16"/>
  <c r="M11" i="16"/>
  <c r="I11" i="16"/>
  <c r="M10" i="16"/>
  <c r="I10" i="16"/>
  <c r="M9" i="16"/>
  <c r="I9" i="16"/>
  <c r="M8" i="16"/>
  <c r="I8" i="16"/>
  <c r="M7" i="16"/>
  <c r="I7" i="16"/>
  <c r="M6" i="16"/>
  <c r="I6" i="16"/>
  <c r="M5" i="16"/>
  <c r="I5" i="16"/>
  <c r="M4" i="16"/>
  <c r="I4" i="16"/>
  <c r="M3" i="16"/>
  <c r="I3" i="16"/>
  <c r="M2" i="16"/>
  <c r="I2" i="16"/>
  <c r="M326" i="3"/>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<sst xmlns="http://schemas.openxmlformats.org/spreadsheetml/2006/main" count="807" uniqueCount="130">
  <si>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</si>
  <si>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</si>
  <si>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</si>
  <si>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</si>
  <si>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</si>
  <si>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</si>
  <si>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</si>
  <si>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</si>
  <si>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</si>
  <si>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</si>
  <si>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</si>
  <si>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</si>
  <si>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</si>
  <si>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</si>
  <si>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</si>
  <si>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</si>
  <si>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</si>
  <si>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</si>
  <si>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</si>
  <si>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</si>
  <si>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</si>
  <si>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</si>
  <si>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</si>
  <si>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</si>
  <si>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</si>
  <si>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</si>
  <si>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</si>
  <si>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</si>
  <si>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</si>
  <si>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</si>
  <si>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</si>
  <si>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</si>
  <si>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</si>
  <si>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</si>
  <si>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</si>
  <si>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</si>
  <si>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</si>
  <si>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</si>
  <si>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</si>
  <si>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</si>
  <si>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</si>
  <si>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</si>
  <si>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</si>
  <si>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</si>
  <si>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</si>
  <si>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</si>
  <si>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</si>
  <si>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</si>
  <si>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</si>
  <si>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</si>
  <si>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</si>
  <si>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</si>
  <si>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</si>
  <si>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</si>
  <si>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</si>
  <si>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</si>
  <si>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</si>
  <si>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</si>
  <si>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</si>
  <si>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</si>
  <si>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</si>
  <si>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</si>
  <si>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</si>
  <si>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</si>
  <si>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</si>
  <si>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</si>
  <si>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</si>
  <si>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</si>
  <si>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</si>
  <si>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</si>
  <si>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</si>
  <si>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</si>
  <si>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</si>
  <si>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</si>
  <si>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</si>
  <si>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</si>
  <si>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</si>
  <si>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</si>
  <si>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</si>
  <si>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</si>
  <si>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</si>
  <si>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</si>
  <si>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</si>
  <si>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</si>
  <si>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</si>
  <si>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</si>
  <si>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</si>
  <si>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</si>
  <si>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</si>
  <si>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</si>
  <si>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</si>
  <si>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</si>
  <si>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</si>
  <si>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</si>
  <si>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</si>
  <si>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</si>
  <si>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</si>
  <si>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</si>
  <si>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</si>
  <si>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</si>
  <si>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</si>
  <si>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</si>
  <si>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</si>
  <si>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</si>
  <si>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</si>
  <si>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</si>
  <si>
    <t>Asics</t>
  </si>
  <si>
    <t>JOLT 3 PS</t>
  </si>
  <si>
    <t>girl</t>
  </si>
  <si>
    <t>130001_1 130001_2 130001_3 130001_4</t>
  </si>
  <si>
    <t>K4.5</t>
  </si>
  <si>
    <t>K5</t>
  </si>
  <si>
    <t>K5.5</t>
  </si>
  <si>
    <t>K6</t>
  </si>
  <si>
    <t>K6.5</t>
  </si>
  <si>
    <t>K7</t>
  </si>
  <si>
    <t>K7.5</t>
  </si>
  <si>
    <t>K8</t>
  </si>
  <si>
    <t>K8.5</t>
  </si>
  <si>
    <t>K9</t>
  </si>
  <si>
    <t>K9.5</t>
  </si>
  <si>
    <t>K10</t>
  </si>
  <si>
    <t>K11</t>
  </si>
  <si>
    <t>K12</t>
  </si>
  <si>
    <t>K13</t>
  </si>
  <si>
    <t>32.5</t>
  </si>
  <si>
    <t>33.5</t>
  </si>
  <si>
    <t>34.5</t>
  </si>
  <si>
    <t>K4</t>
  </si>
  <si>
    <t>Удобные и практичные детские кроссовки, созданные для активного образа жизни. Модель вдохновлена беговой линейкой ASICS GT и отлично подходит как для спорта, так и для повседневной носки.
Комфорт на каждый день
Продуманная посадка в передней части стопы обеспечивает удобство даже при длительном ношении. Лёгкая конструкция снижает нагрузку на ноги ребёнка.
Дышащие материалы
Сетчатый верх способствует циркуляции воздуха и помогает сохранять комфортную температуру внутри обуви.
Надёжная фиксация и поддержка
Синтетические накладки усиливают конструкцию верха и обеспечивают дополнительную стабильность стопы.
Износостойкость
Усиленный носок и прочная резиновая подошва делают модель устойчивой к активному использованию и продлевают срок службы.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</si>
</sst>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3" x14ac:knownFonts="1">
    <font>
      <sz val="11"/>
      <color theme="1"/>
      <name val="Calibri"/>
      <family val="2"/>
      <charset val="204"/>
      <scheme val="minor"/>
    </font>
    <font>
      <sz val="8"/>
      <name val="Calibri"/>
      <family val="2"/>
      <charset val="204"/>
      <scheme val="minor"/>
    </font>
    <font>
      <sz val="11"/>
      <color rgb="FF00184F"/>
      <name val="Calibri"/>
      <family val="2"/>
      <charset val="204"/>
      <scheme val="minor"/>
    </font>
  </fonts>
  <fills count="3">
    <fill>
      <patternFill patternType="none"/>
    </fill>
    <fill>
      <patternFill patternType="gray125"/>
    </fill>
    <fill>
      <patternFill patternType="solid">
        <fgColor rgb="FFFFFFFF"/>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13">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2" fillId="2" borderId="1" xfId="0" applyNumberFormat="1" applyFont="1" applyFill="1" applyBorder="1" applyAlignment="1">
      <alignment horizontal="center" vertical="center"/>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335"/>
  <sheetViews>
    <sheetView zoomScale="70" zoomScaleNormal="70" workbookViewId="0">
      <pane ySplit="1" topLeftCell="A35" activePane="bottomLeft" state="frozen"/>
      <selection pane="bottomLeft" sqref="A1:N19"/>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5"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1">
        <v>100286</v>
      </c>
      <c r="B287" s="1"/>
      <c r="C287" s="1"/>
      <c r="D287" s="1"/>
      <c r="E287" s="1"/>
      <c r="F287" s="1"/>
      <c r="G287" s="1">
        <v>7.5</v>
      </c>
      <c r="H287" s="1">
        <v>40.5</v>
      </c>
      <c r="I287" s="5">
        <f t="shared" si="12"/>
        <v>74033.421052631587</v>
      </c>
      <c r="J287" s="1"/>
      <c r="K287" s="1" t="s">
        <v>25</v>
      </c>
      <c r="L287" s="1"/>
      <c r="M287" s="4">
        <f t="shared" ref="M287:M335"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1">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35"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4"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4"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4"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4"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4"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4" ht="247.75" x14ac:dyDescent="0.4">
      <c r="A326" s="1">
        <v>100325</v>
      </c>
      <c r="B326" s="1"/>
      <c r="C326" s="1"/>
      <c r="D326" s="1" t="s">
        <v>57</v>
      </c>
      <c r="E326" s="1" t="s">
        <v>7</v>
      </c>
      <c r="F326" s="1" t="s">
        <v>104</v>
      </c>
      <c r="G326" s="1">
        <v>5</v>
      </c>
      <c r="H326" s="1">
        <v>35.5</v>
      </c>
      <c r="I326" s="5">
        <f t="shared" si="14"/>
        <v>62870.26315789474</v>
      </c>
      <c r="J326" s="1"/>
      <c r="K326" s="1" t="s">
        <v>25</v>
      </c>
      <c r="L326" s="9" t="s">
        <v>105</v>
      </c>
      <c r="M326" s="4">
        <f t="shared" si="13"/>
        <v>62870.26315789474</v>
      </c>
      <c r="N326" s="2">
        <v>469</v>
      </c>
    </row>
    <row r="327" spans="1:14" x14ac:dyDescent="0.4">
      <c r="A327" s="1">
        <v>100326</v>
      </c>
      <c r="B327" s="1"/>
      <c r="C327" s="1"/>
      <c r="D327" s="1"/>
      <c r="E327" s="1"/>
      <c r="F327" s="1"/>
      <c r="G327" s="1">
        <v>5.5</v>
      </c>
      <c r="H327" s="1">
        <v>36</v>
      </c>
      <c r="I327" s="5">
        <f t="shared" si="14"/>
        <v>61275.526315789473</v>
      </c>
      <c r="J327" s="1"/>
      <c r="K327" s="1" t="s">
        <v>25</v>
      </c>
      <c r="L327" s="1"/>
      <c r="M327" s="4">
        <f t="shared" si="13"/>
        <v>61275.526315789473</v>
      </c>
      <c r="N327" s="2">
        <v>449</v>
      </c>
    </row>
    <row r="328" spans="1:14" x14ac:dyDescent="0.4">
      <c r="A328" s="1">
        <v>100327</v>
      </c>
      <c r="B328" s="1"/>
      <c r="C328" s="1"/>
      <c r="D328" s="1"/>
      <c r="E328" s="1"/>
      <c r="F328" s="1"/>
      <c r="G328" s="1">
        <v>6</v>
      </c>
      <c r="H328" s="1">
        <v>36.5</v>
      </c>
      <c r="I328" s="5">
        <f t="shared" si="14"/>
        <v>61275.526315789473</v>
      </c>
      <c r="J328" s="1"/>
      <c r="K328" s="1" t="s">
        <v>25</v>
      </c>
      <c r="L328" s="1"/>
      <c r="M328" s="4">
        <f t="shared" si="13"/>
        <v>61275.526315789473</v>
      </c>
      <c r="N328" s="2">
        <v>449</v>
      </c>
    </row>
    <row r="329" spans="1:14" x14ac:dyDescent="0.4">
      <c r="A329" s="1">
        <v>100328</v>
      </c>
      <c r="B329" s="1"/>
      <c r="C329" s="1"/>
      <c r="D329" s="1"/>
      <c r="E329" s="1"/>
      <c r="F329" s="1"/>
      <c r="G329" s="1">
        <v>6.5</v>
      </c>
      <c r="H329" s="1">
        <v>37.5</v>
      </c>
      <c r="I329" s="5">
        <f t="shared" si="14"/>
        <v>69249.210526315786</v>
      </c>
      <c r="J329" s="1"/>
      <c r="K329" s="1" t="s">
        <v>25</v>
      </c>
      <c r="L329" s="1"/>
      <c r="M329" s="4">
        <f t="shared" si="13"/>
        <v>69249.210526315786</v>
      </c>
      <c r="N329" s="2">
        <v>549</v>
      </c>
    </row>
    <row r="330" spans="1:14" x14ac:dyDescent="0.4">
      <c r="A330" s="1">
        <v>100329</v>
      </c>
      <c r="B330" s="1"/>
      <c r="C330" s="1"/>
      <c r="D330" s="1"/>
      <c r="E330" s="1"/>
      <c r="F330" s="1"/>
      <c r="G330" s="1">
        <v>7</v>
      </c>
      <c r="H330" s="1">
        <v>38</v>
      </c>
      <c r="I330" s="5">
        <f t="shared" si="14"/>
        <v>67096.315789473694</v>
      </c>
      <c r="J330" s="1"/>
      <c r="K330" s="1" t="s">
        <v>25</v>
      </c>
      <c r="L330" s="1"/>
      <c r="M330" s="4">
        <f t="shared" si="13"/>
        <v>67096.315789473694</v>
      </c>
      <c r="N330" s="2">
        <v>522</v>
      </c>
    </row>
    <row r="331" spans="1:14" x14ac:dyDescent="0.4">
      <c r="A331" s="1">
        <v>100330</v>
      </c>
      <c r="B331" s="1"/>
      <c r="C331" s="1"/>
      <c r="D331" s="1"/>
      <c r="E331" s="1"/>
      <c r="F331" s="1"/>
      <c r="G331" s="1">
        <v>7.5</v>
      </c>
      <c r="H331" s="1">
        <v>38.5</v>
      </c>
      <c r="I331" s="5">
        <f t="shared" si="14"/>
        <v>62790.526315789473</v>
      </c>
      <c r="J331" s="1"/>
      <c r="K331" s="1" t="s">
        <v>25</v>
      </c>
      <c r="L331" s="1"/>
      <c r="M331" s="4">
        <f t="shared" si="13"/>
        <v>62790.526315789473</v>
      </c>
      <c r="N331" s="2">
        <v>468</v>
      </c>
    </row>
    <row r="332" spans="1:14" x14ac:dyDescent="0.4">
      <c r="A332" s="1">
        <v>100331</v>
      </c>
      <c r="B332" s="1"/>
      <c r="C332" s="1"/>
      <c r="D332" s="1"/>
      <c r="E332" s="1"/>
      <c r="F332" s="1"/>
      <c r="G332" s="1">
        <v>8</v>
      </c>
      <c r="H332" s="1">
        <v>39</v>
      </c>
      <c r="I332" s="5">
        <f t="shared" si="14"/>
        <v>63667.631578947374</v>
      </c>
      <c r="J332" s="1"/>
      <c r="K332" s="1" t="s">
        <v>25</v>
      </c>
      <c r="L332" s="1"/>
      <c r="M332" s="4">
        <f t="shared" si="13"/>
        <v>63667.631578947374</v>
      </c>
      <c r="N332" s="2">
        <v>479</v>
      </c>
    </row>
    <row r="333" spans="1:14" x14ac:dyDescent="0.4">
      <c r="A333" s="1">
        <v>100332</v>
      </c>
      <c r="B333" s="1"/>
      <c r="C333" s="1"/>
      <c r="D333" s="1"/>
      <c r="E333" s="1"/>
      <c r="F333" s="1"/>
      <c r="G333" s="1">
        <v>8.5</v>
      </c>
      <c r="H333" s="1">
        <v>40</v>
      </c>
      <c r="I333" s="5">
        <f t="shared" si="14"/>
        <v>64465</v>
      </c>
      <c r="J333" s="1"/>
      <c r="K333" s="1" t="s">
        <v>25</v>
      </c>
      <c r="L333" s="1"/>
      <c r="M333" s="4">
        <f t="shared" si="13"/>
        <v>64465</v>
      </c>
      <c r="N333" s="2">
        <v>489</v>
      </c>
    </row>
    <row r="334" spans="1:14" x14ac:dyDescent="0.4">
      <c r="A334" s="1">
        <v>100333</v>
      </c>
      <c r="B334" s="1"/>
      <c r="C334" s="1"/>
      <c r="D334" s="1"/>
      <c r="E334" s="1"/>
      <c r="F334" s="1"/>
      <c r="G334" s="1">
        <v>9</v>
      </c>
      <c r="H334" s="1">
        <v>40.5</v>
      </c>
      <c r="I334" s="5">
        <f t="shared" si="14"/>
        <v>68451.84210526316</v>
      </c>
      <c r="J334" s="1"/>
      <c r="K334" s="1" t="s">
        <v>25</v>
      </c>
      <c r="L334" s="1"/>
      <c r="M334" s="4">
        <f t="shared" si="13"/>
        <v>68451.84210526316</v>
      </c>
      <c r="N334" s="2">
        <v>539</v>
      </c>
    </row>
    <row r="335" spans="1:14" x14ac:dyDescent="0.4">
      <c r="A335" s="1">
        <v>100334</v>
      </c>
      <c r="B335" s="1"/>
      <c r="C335" s="1"/>
      <c r="D335" s="1"/>
      <c r="E335" s="1"/>
      <c r="F335" s="1"/>
      <c r="G335" s="1">
        <v>9.5</v>
      </c>
      <c r="H335" s="1">
        <v>41</v>
      </c>
      <c r="I335" s="5">
        <f t="shared" si="14"/>
        <v>74830.789473684214</v>
      </c>
      <c r="J335" s="1"/>
      <c r="K335" s="1" t="s">
        <v>25</v>
      </c>
      <c r="L335" s="1"/>
      <c r="M335" s="4">
        <f t="shared" si="13"/>
        <v>74830.789473684214</v>
      </c>
      <c r="N335" s="2">
        <v>619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0"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c r="D11" s="1"/>
      <c r="E11" s="1"/>
      <c r="F11" s="1"/>
      <c r="G11" s="1"/>
      <c r="H11" s="1"/>
      <c r="I11" s="5"/>
      <c r="J11" s="1"/>
      <c r="K11" s="1"/>
      <c r="L11" s="1"/>
      <c r="M11" s="4"/>
      <c r="N11" s="2"/>
    </row>
    <row r="12" spans="1:14" x14ac:dyDescent="0.4">
      <c r="A12" s="1">
        <v>900011</v>
      </c>
      <c r="B12" s="1"/>
      <c r="C12" s="1"/>
      <c r="D12" s="1"/>
      <c r="E12" s="1"/>
      <c r="F12" s="1"/>
      <c r="G12" s="1"/>
      <c r="H12" s="1"/>
      <c r="I12" s="5"/>
      <c r="J12" s="1"/>
      <c r="K12" s="1"/>
      <c r="L12" s="1"/>
      <c r="M12" s="4"/>
      <c r="N12" s="2"/>
    </row>
    <row r="13" spans="1:14" x14ac:dyDescent="0.4">
      <c r="A13" s="1">
        <v>900012</v>
      </c>
      <c r="B13" s="1"/>
      <c r="C13" s="1"/>
      <c r="D13" s="1"/>
      <c r="E13" s="1"/>
      <c r="F13" s="1"/>
      <c r="G13" s="1"/>
      <c r="H13" s="1"/>
      <c r="I13" s="5"/>
      <c r="J13" s="1"/>
      <c r="K13" s="1"/>
      <c r="L13" s="1"/>
      <c r="M13" s="4"/>
      <c r="N13" s="2"/>
    </row>
    <row r="14" spans="1:14" x14ac:dyDescent="0.4">
      <c r="A14" s="1">
        <v>900013</v>
      </c>
      <c r="B14" s="1"/>
      <c r="C14" s="1"/>
      <c r="D14" s="1"/>
      <c r="E14" s="1"/>
      <c r="F14" s="1"/>
      <c r="G14" s="1"/>
      <c r="H14" s="1"/>
      <c r="I14" s="5"/>
      <c r="J14" s="1"/>
      <c r="K14" s="1"/>
      <c r="L14" s="1"/>
      <c r="M14" s="4"/>
      <c r="N14" s="2"/>
    </row>
    <row r="15" spans="1:14" x14ac:dyDescent="0.4">
      <c r="A15" s="1">
        <v>900014</v>
      </c>
      <c r="B15" s="1"/>
      <c r="C15" s="1"/>
      <c r="D15" s="1"/>
      <c r="E15" s="1"/>
      <c r="F15" s="1"/>
      <c r="G15" s="1"/>
      <c r="H15" s="1"/>
      <c r="I15" s="5"/>
      <c r="J15" s="1"/>
      <c r="K15" s="1"/>
      <c r="L15" s="1"/>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B5749-20E2-4B7E-AD5C-A725C3BDEA3B}">
  <dimension ref="A1:R27"/>
  <sheetViews>
    <sheetView tabSelected="1" topLeftCell="G1" workbookViewId="0">
      <selection activeCell="L2" sqref="L2"/>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66.765625" customWidth="1"/>
  </cols>
  <sheetData>
    <row r="1" spans="1:18" x14ac:dyDescent="0.4">
      <c r="A1" s="1" t="s">
        <v>10</v>
      </c>
      <c r="B1" s="1" t="s">
        <v>2</v>
      </c>
      <c r="C1" s="1" t="s">
        <v>0</v>
      </c>
      <c r="D1" s="1" t="s">
        <v>8</v>
      </c>
      <c r="E1" s="1" t="s">
        <v>9</v>
      </c>
      <c r="F1" s="1" t="s">
        <v>12</v>
      </c>
      <c r="G1" s="1" t="s">
        <v>19</v>
      </c>
      <c r="H1" s="1" t="s">
        <v>20</v>
      </c>
      <c r="I1" s="1" t="s">
        <v>1</v>
      </c>
      <c r="J1" s="1" t="s">
        <v>3</v>
      </c>
      <c r="K1" s="1" t="s">
        <v>28</v>
      </c>
      <c r="L1" s="1" t="s">
        <v>27</v>
      </c>
      <c r="M1" s="2"/>
      <c r="N1" s="2"/>
    </row>
    <row r="2" spans="1:18" ht="291.45" x14ac:dyDescent="0.4">
      <c r="A2" s="1">
        <v>130001</v>
      </c>
      <c r="B2" s="1" t="s">
        <v>106</v>
      </c>
      <c r="C2" s="1" t="s">
        <v>107</v>
      </c>
      <c r="D2" s="1" t="s">
        <v>108</v>
      </c>
      <c r="E2" s="1" t="s">
        <v>86</v>
      </c>
      <c r="F2" s="1" t="s">
        <v>109</v>
      </c>
      <c r="G2" s="12" t="s">
        <v>128</v>
      </c>
      <c r="H2" s="12">
        <v>19.5</v>
      </c>
      <c r="I2" s="5">
        <f>M2</f>
        <v>23160.526315789473</v>
      </c>
      <c r="J2" s="1"/>
      <c r="K2" s="1" t="s">
        <v>32</v>
      </c>
      <c r="L2" s="9" t="s">
        <v>129</v>
      </c>
      <c r="M2" s="4">
        <f>(N2*75+N2*75*0.01+12500+4200)/0.95</f>
        <v>23160.526315789473</v>
      </c>
      <c r="N2" s="2">
        <v>70</v>
      </c>
      <c r="P2" s="12"/>
      <c r="Q2" s="12"/>
      <c r="R2" s="12"/>
    </row>
    <row r="3" spans="1:18" x14ac:dyDescent="0.4">
      <c r="A3" s="1">
        <v>130002</v>
      </c>
      <c r="B3" s="1"/>
      <c r="C3" s="2"/>
      <c r="D3" s="1"/>
      <c r="E3" s="1"/>
      <c r="F3" s="1"/>
      <c r="G3" s="12" t="s">
        <v>110</v>
      </c>
      <c r="H3" s="12">
        <v>20.5</v>
      </c>
      <c r="I3" s="5">
        <f t="shared" ref="I3:I25" si="0">M3</f>
        <v>23160.526315789473</v>
      </c>
      <c r="J3" s="1"/>
      <c r="K3" s="1" t="s">
        <v>32</v>
      </c>
      <c r="L3" s="1"/>
      <c r="M3" s="4">
        <f t="shared" ref="M3:M25" si="1">(N3*75+N3*75*0.01+12500+4200)/0.95</f>
        <v>23160.526315789473</v>
      </c>
      <c r="N3" s="2">
        <v>70</v>
      </c>
      <c r="P3" s="12"/>
      <c r="Q3" s="12"/>
      <c r="R3" s="12"/>
    </row>
    <row r="4" spans="1:18" x14ac:dyDescent="0.4">
      <c r="A4" s="1">
        <v>130003</v>
      </c>
      <c r="B4" s="1"/>
      <c r="C4" s="1"/>
      <c r="D4" s="1"/>
      <c r="E4" s="1"/>
      <c r="F4" s="1"/>
      <c r="G4" s="12" t="s">
        <v>111</v>
      </c>
      <c r="H4" s="12">
        <v>21</v>
      </c>
      <c r="I4" s="5">
        <f t="shared" si="0"/>
        <v>23160.526315789473</v>
      </c>
      <c r="J4" s="1"/>
      <c r="K4" s="1" t="s">
        <v>32</v>
      </c>
      <c r="L4" s="1"/>
      <c r="M4" s="4">
        <f t="shared" si="1"/>
        <v>23160.526315789473</v>
      </c>
      <c r="N4" s="2">
        <v>70</v>
      </c>
      <c r="P4" s="12"/>
      <c r="Q4" s="12"/>
      <c r="R4" s="12"/>
    </row>
    <row r="5" spans="1:18" x14ac:dyDescent="0.4">
      <c r="A5" s="1">
        <v>130004</v>
      </c>
      <c r="B5" s="1"/>
      <c r="C5" s="1"/>
      <c r="D5" s="1"/>
      <c r="E5" s="1"/>
      <c r="F5" s="1"/>
      <c r="G5" s="12" t="s">
        <v>112</v>
      </c>
      <c r="H5" s="12">
        <v>21.5</v>
      </c>
      <c r="I5" s="5">
        <f t="shared" si="0"/>
        <v>23160.526315789473</v>
      </c>
      <c r="J5" s="1"/>
      <c r="K5" s="1" t="s">
        <v>32</v>
      </c>
      <c r="L5" s="1"/>
      <c r="M5" s="4">
        <f t="shared" si="1"/>
        <v>23160.526315789473</v>
      </c>
      <c r="N5" s="2">
        <v>70</v>
      </c>
      <c r="P5" s="12"/>
      <c r="Q5" s="12"/>
      <c r="R5" s="12"/>
    </row>
    <row r="6" spans="1:18" x14ac:dyDescent="0.4">
      <c r="A6" s="1">
        <v>130005</v>
      </c>
      <c r="B6" s="1"/>
      <c r="C6" s="1"/>
      <c r="D6" s="1"/>
      <c r="E6" s="1"/>
      <c r="F6" s="1"/>
      <c r="G6" s="12" t="s">
        <v>113</v>
      </c>
      <c r="H6" s="12">
        <v>22.5</v>
      </c>
      <c r="I6" s="5">
        <f t="shared" si="0"/>
        <v>23160.526315789473</v>
      </c>
      <c r="J6" s="1"/>
      <c r="K6" s="1" t="s">
        <v>32</v>
      </c>
      <c r="L6" s="1"/>
      <c r="M6" s="4">
        <f t="shared" si="1"/>
        <v>23160.526315789473</v>
      </c>
      <c r="N6" s="2">
        <v>70</v>
      </c>
      <c r="P6" s="12"/>
      <c r="Q6" s="12"/>
      <c r="R6" s="12"/>
    </row>
    <row r="7" spans="1:18" x14ac:dyDescent="0.4">
      <c r="A7" s="1">
        <v>130006</v>
      </c>
      <c r="B7" s="1"/>
      <c r="C7" s="1"/>
      <c r="D7" s="1"/>
      <c r="E7" s="1"/>
      <c r="F7" s="1"/>
      <c r="G7" s="12" t="s">
        <v>114</v>
      </c>
      <c r="H7" s="12">
        <v>23</v>
      </c>
      <c r="I7" s="5">
        <f t="shared" si="0"/>
        <v>23160.526315789473</v>
      </c>
      <c r="J7" s="1"/>
      <c r="K7" s="1" t="s">
        <v>32</v>
      </c>
      <c r="L7" s="1"/>
      <c r="M7" s="4">
        <f t="shared" si="1"/>
        <v>23160.526315789473</v>
      </c>
      <c r="N7" s="2">
        <v>70</v>
      </c>
      <c r="P7" s="12"/>
      <c r="Q7" s="12"/>
      <c r="R7" s="12"/>
    </row>
    <row r="8" spans="1:18" x14ac:dyDescent="0.4">
      <c r="A8" s="1">
        <v>130007</v>
      </c>
      <c r="B8" s="1"/>
      <c r="C8" s="1"/>
      <c r="D8" s="1"/>
      <c r="E8" s="1"/>
      <c r="F8" s="1"/>
      <c r="G8" s="12" t="s">
        <v>115</v>
      </c>
      <c r="H8" s="12">
        <v>23.5</v>
      </c>
      <c r="I8" s="5">
        <f t="shared" si="0"/>
        <v>23160.526315789473</v>
      </c>
      <c r="J8" s="1"/>
      <c r="K8" s="1" t="s">
        <v>32</v>
      </c>
      <c r="L8" s="1"/>
      <c r="M8" s="4">
        <f t="shared" si="1"/>
        <v>23160.526315789473</v>
      </c>
      <c r="N8" s="2">
        <v>70</v>
      </c>
      <c r="P8" s="12"/>
      <c r="Q8" s="12"/>
      <c r="R8" s="12"/>
    </row>
    <row r="9" spans="1:18" x14ac:dyDescent="0.4">
      <c r="A9" s="1">
        <v>130008</v>
      </c>
      <c r="B9" s="1"/>
      <c r="C9" s="1"/>
      <c r="D9" s="1"/>
      <c r="E9" s="1"/>
      <c r="F9" s="1"/>
      <c r="G9" s="12" t="s">
        <v>116</v>
      </c>
      <c r="H9" s="12">
        <v>24</v>
      </c>
      <c r="I9" s="5">
        <f t="shared" si="0"/>
        <v>23160.526315789473</v>
      </c>
      <c r="J9" s="1"/>
      <c r="K9" s="1" t="s">
        <v>32</v>
      </c>
      <c r="L9" s="1"/>
      <c r="M9" s="4">
        <f t="shared" si="1"/>
        <v>23160.526315789473</v>
      </c>
      <c r="N9" s="2">
        <v>70</v>
      </c>
      <c r="P9" s="12"/>
      <c r="Q9" s="12"/>
      <c r="R9" s="12"/>
    </row>
    <row r="10" spans="1:18" x14ac:dyDescent="0.4">
      <c r="A10" s="1">
        <v>130009</v>
      </c>
      <c r="B10" s="1"/>
      <c r="C10" s="1"/>
      <c r="D10" s="1"/>
      <c r="E10" s="1"/>
      <c r="F10" s="1"/>
      <c r="G10" s="12" t="s">
        <v>117</v>
      </c>
      <c r="H10" s="12">
        <v>25</v>
      </c>
      <c r="I10" s="5">
        <f t="shared" si="0"/>
        <v>23160.526315789473</v>
      </c>
      <c r="J10" s="1"/>
      <c r="K10" s="1" t="s">
        <v>32</v>
      </c>
      <c r="L10" s="1"/>
      <c r="M10" s="4">
        <f t="shared" si="1"/>
        <v>23160.526315789473</v>
      </c>
      <c r="N10" s="2">
        <v>70</v>
      </c>
      <c r="P10" s="12"/>
      <c r="Q10" s="12"/>
      <c r="R10" s="12"/>
    </row>
    <row r="11" spans="1:18" x14ac:dyDescent="0.4">
      <c r="A11" s="1">
        <v>130010</v>
      </c>
      <c r="B11" s="1"/>
      <c r="C11" s="1"/>
      <c r="D11" s="1"/>
      <c r="E11" s="1"/>
      <c r="F11" s="1"/>
      <c r="G11" s="12" t="s">
        <v>118</v>
      </c>
      <c r="H11" s="12">
        <v>25.5</v>
      </c>
      <c r="I11" s="5">
        <f t="shared" si="0"/>
        <v>23160.526315789473</v>
      </c>
      <c r="J11" s="1"/>
      <c r="K11" s="1" t="s">
        <v>32</v>
      </c>
      <c r="L11" s="1"/>
      <c r="M11" s="4">
        <f t="shared" si="1"/>
        <v>23160.526315789473</v>
      </c>
      <c r="N11" s="2">
        <v>70</v>
      </c>
      <c r="P11" s="12"/>
      <c r="Q11" s="12"/>
      <c r="R11" s="12"/>
    </row>
    <row r="12" spans="1:18" x14ac:dyDescent="0.4">
      <c r="A12" s="1">
        <v>130011</v>
      </c>
      <c r="B12" s="1"/>
      <c r="C12" s="1"/>
      <c r="D12" s="1"/>
      <c r="E12" s="1"/>
      <c r="F12" s="1"/>
      <c r="G12" s="12" t="s">
        <v>119</v>
      </c>
      <c r="H12" s="12">
        <v>26</v>
      </c>
      <c r="I12" s="5">
        <f t="shared" si="0"/>
        <v>23160.526315789473</v>
      </c>
      <c r="J12" s="1"/>
      <c r="K12" s="1" t="s">
        <v>32</v>
      </c>
      <c r="L12" s="1"/>
      <c r="M12" s="4">
        <f t="shared" si="1"/>
        <v>23160.526315789473</v>
      </c>
      <c r="N12" s="2">
        <v>70</v>
      </c>
      <c r="P12" s="12"/>
      <c r="Q12" s="12"/>
      <c r="R12" s="12"/>
    </row>
    <row r="13" spans="1:18" x14ac:dyDescent="0.4">
      <c r="A13" s="1">
        <v>130012</v>
      </c>
      <c r="B13" s="1"/>
      <c r="C13" s="1"/>
      <c r="D13" s="1"/>
      <c r="E13" s="1"/>
      <c r="F13" s="1"/>
      <c r="G13" s="12" t="s">
        <v>120</v>
      </c>
      <c r="H13" s="12">
        <v>26.5</v>
      </c>
      <c r="I13" s="5">
        <f t="shared" si="0"/>
        <v>23160.526315789473</v>
      </c>
      <c r="J13" s="1"/>
      <c r="K13" s="1" t="s">
        <v>32</v>
      </c>
      <c r="L13" s="1"/>
      <c r="M13" s="4">
        <f t="shared" si="1"/>
        <v>23160.526315789473</v>
      </c>
      <c r="N13" s="2">
        <v>70</v>
      </c>
      <c r="P13" s="12"/>
      <c r="Q13" s="12"/>
      <c r="R13" s="12"/>
    </row>
    <row r="14" spans="1:18" x14ac:dyDescent="0.4">
      <c r="A14" s="1">
        <v>130013</v>
      </c>
      <c r="B14" s="1"/>
      <c r="C14" s="1"/>
      <c r="D14" s="1"/>
      <c r="E14" s="1"/>
      <c r="F14" s="1"/>
      <c r="G14" s="12" t="s">
        <v>121</v>
      </c>
      <c r="H14" s="12">
        <v>27</v>
      </c>
      <c r="I14" s="5">
        <f t="shared" si="0"/>
        <v>23160.526315789473</v>
      </c>
      <c r="J14" s="1"/>
      <c r="K14" s="1" t="s">
        <v>32</v>
      </c>
      <c r="L14" s="1"/>
      <c r="M14" s="4">
        <f t="shared" si="1"/>
        <v>23160.526315789473</v>
      </c>
      <c r="N14" s="2">
        <v>70</v>
      </c>
      <c r="P14" s="12"/>
      <c r="Q14" s="12"/>
      <c r="R14" s="12"/>
    </row>
    <row r="15" spans="1:18" x14ac:dyDescent="0.4">
      <c r="A15" s="1">
        <v>130014</v>
      </c>
      <c r="B15" s="1"/>
      <c r="C15" s="1"/>
      <c r="D15" s="1"/>
      <c r="E15" s="1"/>
      <c r="F15" s="1"/>
      <c r="G15" s="12" t="s">
        <v>122</v>
      </c>
      <c r="H15" s="12">
        <v>28.5</v>
      </c>
      <c r="I15" s="5">
        <f t="shared" si="0"/>
        <v>23160.526315789473</v>
      </c>
      <c r="J15" s="1"/>
      <c r="K15" s="1" t="s">
        <v>32</v>
      </c>
      <c r="L15" s="1"/>
      <c r="M15" s="4">
        <f t="shared" si="1"/>
        <v>23160.526315789473</v>
      </c>
      <c r="N15" s="2">
        <v>70</v>
      </c>
      <c r="P15" s="12"/>
      <c r="Q15" s="12"/>
      <c r="R15" s="12"/>
    </row>
    <row r="16" spans="1:18" x14ac:dyDescent="0.4">
      <c r="A16" s="1">
        <v>130015</v>
      </c>
      <c r="B16" s="1"/>
      <c r="C16" s="1"/>
      <c r="D16" s="1"/>
      <c r="E16" s="1"/>
      <c r="F16" s="1"/>
      <c r="G16" s="12" t="s">
        <v>123</v>
      </c>
      <c r="H16" s="12">
        <v>30</v>
      </c>
      <c r="I16" s="5">
        <f t="shared" si="0"/>
        <v>23160.526315789473</v>
      </c>
      <c r="J16" s="1"/>
      <c r="K16" s="1" t="s">
        <v>32</v>
      </c>
      <c r="L16" s="1"/>
      <c r="M16" s="4">
        <f t="shared" si="1"/>
        <v>23160.526315789473</v>
      </c>
      <c r="N16" s="2">
        <v>70</v>
      </c>
      <c r="P16" s="12"/>
      <c r="Q16" s="12"/>
      <c r="R16" s="12"/>
    </row>
    <row r="17" spans="1:18" x14ac:dyDescent="0.4">
      <c r="A17" s="1">
        <v>130016</v>
      </c>
      <c r="B17" s="1"/>
      <c r="C17" s="1"/>
      <c r="D17" s="1"/>
      <c r="E17" s="1"/>
      <c r="F17" s="1"/>
      <c r="G17" s="12" t="s">
        <v>124</v>
      </c>
      <c r="H17" s="12">
        <v>31.5</v>
      </c>
      <c r="I17" s="5">
        <f t="shared" si="0"/>
        <v>23160.526315789473</v>
      </c>
      <c r="J17" s="1"/>
      <c r="K17" s="1" t="s">
        <v>25</v>
      </c>
      <c r="L17" s="1"/>
      <c r="M17" s="4">
        <f t="shared" si="1"/>
        <v>23160.526315789473</v>
      </c>
      <c r="N17" s="2">
        <v>70</v>
      </c>
      <c r="P17" s="12"/>
      <c r="Q17" s="12"/>
      <c r="R17" s="12"/>
    </row>
    <row r="18" spans="1:18" x14ac:dyDescent="0.4">
      <c r="A18" s="1">
        <v>130017</v>
      </c>
      <c r="B18" s="6"/>
      <c r="C18" s="6"/>
      <c r="D18" s="6"/>
      <c r="E18" s="6"/>
      <c r="F18" s="6"/>
      <c r="G18" s="12">
        <v>1</v>
      </c>
      <c r="H18" s="12" t="s">
        <v>125</v>
      </c>
      <c r="I18" s="5">
        <f t="shared" si="0"/>
        <v>23160.526315789473</v>
      </c>
      <c r="J18" s="6"/>
      <c r="K18" s="1" t="s">
        <v>32</v>
      </c>
      <c r="L18" s="6"/>
      <c r="M18" s="4">
        <f t="shared" si="1"/>
        <v>23160.526315789473</v>
      </c>
      <c r="N18" s="2">
        <v>70</v>
      </c>
      <c r="P18" s="12"/>
      <c r="Q18" s="12"/>
      <c r="R18" s="12"/>
    </row>
    <row r="19" spans="1:18" x14ac:dyDescent="0.4">
      <c r="A19" s="1">
        <v>130018</v>
      </c>
      <c r="B19" s="6"/>
      <c r="C19" s="6"/>
      <c r="D19" s="6"/>
      <c r="E19" s="1"/>
      <c r="F19" s="6"/>
      <c r="G19" s="12">
        <v>1.5</v>
      </c>
      <c r="H19" s="12">
        <v>33</v>
      </c>
      <c r="I19" s="5">
        <f t="shared" si="0"/>
        <v>23160.526315789473</v>
      </c>
      <c r="J19" s="6"/>
      <c r="K19" s="1" t="s">
        <v>32</v>
      </c>
      <c r="L19" s="6"/>
      <c r="M19" s="4">
        <f t="shared" si="1"/>
        <v>23160.526315789473</v>
      </c>
      <c r="N19" s="2">
        <v>70</v>
      </c>
      <c r="P19" s="12"/>
      <c r="Q19" s="12"/>
      <c r="R19" s="12"/>
    </row>
    <row r="20" spans="1:18" x14ac:dyDescent="0.4">
      <c r="A20" s="1">
        <v>130019</v>
      </c>
      <c r="B20" s="6"/>
      <c r="C20" s="6"/>
      <c r="D20" s="6"/>
      <c r="E20" s="6"/>
      <c r="F20" s="6"/>
      <c r="G20" s="12">
        <v>2</v>
      </c>
      <c r="H20" s="12" t="s">
        <v>126</v>
      </c>
      <c r="I20" s="5">
        <f t="shared" si="0"/>
        <v>23160.526315789473</v>
      </c>
      <c r="J20" s="6"/>
      <c r="K20" s="1" t="s">
        <v>32</v>
      </c>
      <c r="L20" s="6"/>
      <c r="M20" s="4">
        <f t="shared" si="1"/>
        <v>23160.526315789473</v>
      </c>
      <c r="N20" s="2">
        <v>70</v>
      </c>
      <c r="P20" s="12"/>
      <c r="Q20" s="12"/>
      <c r="R20" s="12"/>
    </row>
    <row r="21" spans="1:18" x14ac:dyDescent="0.4">
      <c r="A21" s="1">
        <v>130020</v>
      </c>
      <c r="B21" s="6"/>
      <c r="C21" s="6"/>
      <c r="D21" s="6"/>
      <c r="E21" s="6"/>
      <c r="F21" s="6"/>
      <c r="G21" s="12">
        <v>2.5</v>
      </c>
      <c r="H21" s="12" t="s">
        <v>127</v>
      </c>
      <c r="I21" s="5">
        <f t="shared" si="0"/>
        <v>23160.526315789473</v>
      </c>
      <c r="J21" s="6"/>
      <c r="K21" s="1" t="s">
        <v>32</v>
      </c>
      <c r="L21" s="6"/>
      <c r="M21" s="4">
        <f t="shared" si="1"/>
        <v>23160.526315789473</v>
      </c>
      <c r="N21" s="2">
        <v>70</v>
      </c>
      <c r="P21" s="12"/>
      <c r="Q21" s="12"/>
      <c r="R21" s="12"/>
    </row>
    <row r="22" spans="1:18" x14ac:dyDescent="0.4">
      <c r="A22" s="1">
        <v>130021</v>
      </c>
      <c r="B22" s="6"/>
      <c r="C22" s="6"/>
      <c r="D22" s="6"/>
      <c r="E22" s="6"/>
      <c r="F22" s="6"/>
      <c r="G22" s="12">
        <v>3</v>
      </c>
      <c r="H22" s="12">
        <v>35</v>
      </c>
      <c r="I22" s="5">
        <f t="shared" si="0"/>
        <v>23160.526315789473</v>
      </c>
      <c r="J22" s="6"/>
      <c r="K22" s="1" t="s">
        <v>32</v>
      </c>
      <c r="L22" s="6"/>
      <c r="M22" s="4">
        <f t="shared" si="1"/>
        <v>23160.526315789473</v>
      </c>
      <c r="N22" s="2">
        <v>70</v>
      </c>
      <c r="P22" s="12"/>
      <c r="Q22" s="12"/>
      <c r="R22" s="12"/>
    </row>
    <row r="23" spans="1:18" x14ac:dyDescent="0.4">
      <c r="A23" s="1">
        <v>130022</v>
      </c>
      <c r="B23" s="6"/>
      <c r="C23" s="6"/>
      <c r="D23" s="6"/>
      <c r="E23" s="6"/>
      <c r="F23" s="6"/>
      <c r="G23" s="7"/>
      <c r="H23" s="1"/>
      <c r="I23" s="5"/>
      <c r="J23" s="6"/>
      <c r="K23" s="1"/>
      <c r="L23" s="6"/>
      <c r="M23" s="4"/>
      <c r="N23" s="2"/>
    </row>
    <row r="24" spans="1:18" x14ac:dyDescent="0.4">
      <c r="A24" s="1">
        <v>130023</v>
      </c>
      <c r="B24" s="6"/>
      <c r="C24" s="6"/>
      <c r="D24" s="6"/>
      <c r="E24" s="6"/>
      <c r="F24" s="6"/>
      <c r="G24" s="1"/>
      <c r="H24" s="1"/>
      <c r="I24" s="5"/>
      <c r="J24" s="6"/>
      <c r="K24" s="1"/>
      <c r="L24" s="6"/>
      <c r="M24" s="4"/>
      <c r="N24" s="2"/>
    </row>
    <row r="25" spans="1:18" x14ac:dyDescent="0.4">
      <c r="A25" s="1">
        <v>130024</v>
      </c>
      <c r="B25" s="6"/>
      <c r="C25" s="6"/>
      <c r="D25" s="6"/>
      <c r="E25" s="6"/>
      <c r="F25" s="6"/>
      <c r="G25" s="7"/>
      <c r="H25" s="1"/>
      <c r="I25" s="5"/>
      <c r="J25" s="6"/>
      <c r="K25" s="1"/>
      <c r="L25" s="6"/>
      <c r="M25" s="4"/>
      <c r="N25" s="2"/>
    </row>
    <row r="26" spans="1:18" x14ac:dyDescent="0.4">
      <c r="A26" s="1">
        <v>130025</v>
      </c>
      <c r="B26" s="6"/>
      <c r="C26" s="6"/>
      <c r="D26" s="6"/>
      <c r="E26" s="6"/>
      <c r="F26" s="6"/>
      <c r="G26" s="1"/>
      <c r="H26" s="1"/>
      <c r="I26" s="6"/>
      <c r="J26" s="6"/>
      <c r="K26" s="6"/>
      <c r="L26" s="6"/>
    </row>
    <row r="27" spans="1:18" x14ac:dyDescent="0.4">
      <c r="A27" s="1">
        <v>130026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10</vt:i4>
      </vt:variant>
    </vt:vector>
  </HeadingPairs>
  <TitlesOfParts>
    <vt:vector size="10" baseType="lpstr">
      <vt:lpstr>Nike</vt:lpstr>
      <vt:lpstr>Mizuno</vt:lpstr>
      <vt:lpstr>Hoka</vt:lpstr>
      <vt:lpstr>The North Face</vt:lpstr>
      <vt:lpstr>Timberland</vt:lpstr>
      <vt:lpstr>Adidas</vt:lpstr>
      <vt:lpstr>Native</vt:lpstr>
      <vt:lpstr>Dickies</vt:lpstr>
      <vt:lpstr>Skechers</vt:lpstr>
      <vt:lpstr>Asics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2026-03-27T06:17:11Z</dcterms:modified>
</cp:coreProperties>
</file>