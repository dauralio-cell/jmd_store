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autoCompressPictures="0" defaultThemeVersion="124226"/>
  <mc:AlternateContent xmlns:mc="http://schemas.openxmlformats.org/markup-compatibility/2006">
    <mc:Choice Requires="x15">
      <x15ac:absPath xmlns:x15ac="http://schemas.microsoft.com/office/spreadsheetml/2010/11/ac" url="C:\Users\admin\Desktop\jmd_store_render\jmd_store\data\"/>
    </mc:Choice>
  </mc:AlternateContent>
  <xr:revisionPtr revIDLastSave="0" documentId="13_ncr:1_{695EDDD4-F558-44E9-A2C3-D7A2A1931FFF}" xr6:coauthVersionLast="47" xr6:coauthVersionMax="47" xr10:uidLastSave="{00000000-0000-0000-0000-000000000000}"/>
  <bookViews>
    <workbookView xWindow="-103" yWindow="-103" windowWidth="22149" windowHeight="11829" xr2:uid="{00000000-000D-0000-FFFF-FFFF00000000}"/>
  </bookViews>
  <sheets>
    <sheet name="Nike" sheetId="3" r:id="rId1"/>
    <sheet name="Mizuno" sheetId="4" r:id="rId2"/>
    <sheet name="Hoka" sheetId="6" r:id="rId3"/>
    <sheet name="The North Face" sheetId="7" r:id="rId4"/>
    <sheet name="Timberland" sheetId="9" r:id="rId5"/>
    <sheet name="Adidas" sheetId="10" r:id="rId6"/>
    <sheet name="Native" sheetId="11" r:id="rId7"/>
    <sheet name="Dickies" sheetId="13" r:id="rId8"/>
    <sheet name="Skechers" sheetId="14" r:id="rId9"/>
    <sheet name="Asics" sheetId="16" r:id="rId10"/>
  </sheets>
  <calcPr calcId="191029"/>
  <extLst>
    <ext xmlns:mx="http://schemas.microsoft.com/office/mac/excel/2008/main" uri="{7523E5D3-25F3-A5E0-1632-64F254C22452}">
      <mx:ArchID Flags="2"/>
    </ext>
  </extLst>
</workbook>
</file>

<file path=xl/calcChain.xml><?xml version="1.0" encoding="utf-8"?>
<calcChain xmlns="http://schemas.openxmlformats.org/spreadsheetml/2006/main">
  <c r="M339" i="3" l="1"/>
  <c r="I339" i="3"/>
  <c r="M338" i="3"/>
  <c r="I338" i="3" s="1"/>
  <c r="M337" i="3"/>
  <c r="I337" i="3" s="1"/>
  <c r="M336" i="3"/>
  <c r="I336" i="3"/>
  <c r="I3" i="16"/>
  <c r="M3" i="16"/>
  <c r="M11" i="10"/>
  <c r="M2" i="16"/>
  <c r="I2" i="16"/>
  <c r="M326" i="3"/>
  <c r="M327" i="3"/>
  <c r="I327" i="3" s="1"/>
  <c r="M328" i="3"/>
  <c r="I328" i="3" s="1"/>
  <c r="M329" i="3"/>
  <c r="I329" i="3" s="1"/>
  <c r="M330" i="3"/>
  <c r="I330" i="3" s="1"/>
  <c r="M331" i="3"/>
  <c r="I331" i="3" s="1"/>
  <c r="M332" i="3"/>
  <c r="I332" i="3" s="1"/>
  <c r="M333" i="3"/>
  <c r="M334" i="3"/>
  <c r="M335" i="3"/>
  <c r="I326" i="3"/>
  <c r="I333" i="3"/>
  <c r="I334" i="3"/>
  <c r="I335" i="3"/>
  <c r="M314" i="3"/>
  <c r="M315" i="3"/>
  <c r="M316" i="3"/>
  <c r="M317" i="3"/>
  <c r="M318" i="3"/>
  <c r="I318" i="3" s="1"/>
  <c r="M319" i="3"/>
  <c r="I319" i="3" s="1"/>
  <c r="M320" i="3"/>
  <c r="I320" i="3" s="1"/>
  <c r="M321" i="3"/>
  <c r="I321" i="3" s="1"/>
  <c r="M322" i="3"/>
  <c r="I322" i="3" s="1"/>
  <c r="M323" i="3"/>
  <c r="I323" i="3" s="1"/>
  <c r="M324" i="3"/>
  <c r="I324" i="3" s="1"/>
  <c r="M325" i="3"/>
  <c r="I325" i="3" s="1"/>
  <c r="I314" i="3"/>
  <c r="I315" i="3"/>
  <c r="I316" i="3"/>
  <c r="I317" i="3"/>
  <c r="M304" i="3"/>
  <c r="I304" i="3" s="1"/>
  <c r="M305" i="3"/>
  <c r="I305" i="3" s="1"/>
  <c r="M306" i="3"/>
  <c r="I306" i="3" s="1"/>
  <c r="M307" i="3"/>
  <c r="I307" i="3" s="1"/>
  <c r="M308" i="3"/>
  <c r="I308" i="3" s="1"/>
  <c r="M309" i="3"/>
  <c r="I309" i="3" s="1"/>
  <c r="M310" i="3"/>
  <c r="I310" i="3" s="1"/>
  <c r="M311" i="3"/>
  <c r="I311" i="3" s="1"/>
  <c r="M312" i="3"/>
  <c r="I312" i="3" s="1"/>
  <c r="M313" i="3"/>
  <c r="I313" i="3" s="1"/>
  <c r="M294" i="3"/>
  <c r="I294" i="3" s="1"/>
  <c r="M295" i="3"/>
  <c r="I295" i="3" s="1"/>
  <c r="M296" i="3"/>
  <c r="I296" i="3" s="1"/>
  <c r="M297" i="3"/>
  <c r="I297" i="3" s="1"/>
  <c r="M298" i="3"/>
  <c r="M299" i="3"/>
  <c r="M300" i="3"/>
  <c r="I300" i="3" s="1"/>
  <c r="M301" i="3"/>
  <c r="I301" i="3" s="1"/>
  <c r="M302" i="3"/>
  <c r="M303" i="3"/>
  <c r="I303" i="3" s="1"/>
  <c r="I298" i="3"/>
  <c r="I299" i="3"/>
  <c r="I302" i="3"/>
  <c r="M284" i="3"/>
  <c r="I284" i="3" s="1"/>
  <c r="M285" i="3"/>
  <c r="M286" i="3"/>
  <c r="I286" i="3" s="1"/>
  <c r="M287" i="3"/>
  <c r="M288" i="3"/>
  <c r="I288" i="3" s="1"/>
  <c r="M289" i="3"/>
  <c r="I289" i="3" s="1"/>
  <c r="M290" i="3"/>
  <c r="I290" i="3" s="1"/>
  <c r="M291" i="3"/>
  <c r="I291" i="3" s="1"/>
  <c r="M292" i="3"/>
  <c r="I292" i="3" s="1"/>
  <c r="M293" i="3"/>
  <c r="I293" i="3" s="1"/>
  <c r="I287" i="3"/>
  <c r="I285" i="3"/>
  <c r="M274" i="3"/>
  <c r="I274" i="3" s="1"/>
  <c r="M275" i="3"/>
  <c r="M276" i="3"/>
  <c r="M277" i="3"/>
  <c r="M278" i="3"/>
  <c r="M279" i="3"/>
  <c r="M280" i="3"/>
  <c r="I280" i="3" s="1"/>
  <c r="M281" i="3"/>
  <c r="I281" i="3" s="1"/>
  <c r="M282" i="3"/>
  <c r="I282" i="3" s="1"/>
  <c r="M283" i="3"/>
  <c r="I283" i="3" s="1"/>
  <c r="I275" i="3"/>
  <c r="I276" i="3"/>
  <c r="I277" i="3"/>
  <c r="I278" i="3"/>
  <c r="I279" i="3"/>
  <c r="M264" i="3"/>
  <c r="I264" i="3" s="1"/>
  <c r="M265" i="3"/>
  <c r="I265" i="3" s="1"/>
  <c r="M266" i="3"/>
  <c r="I266" i="3" s="1"/>
  <c r="M267" i="3"/>
  <c r="M268" i="3"/>
  <c r="I268" i="3" s="1"/>
  <c r="M269" i="3"/>
  <c r="I269" i="3" s="1"/>
  <c r="M270" i="3"/>
  <c r="I270" i="3" s="1"/>
  <c r="M271" i="3"/>
  <c r="M272" i="3"/>
  <c r="I272" i="3" s="1"/>
  <c r="M273" i="3"/>
  <c r="I267" i="3"/>
  <c r="I271" i="3"/>
  <c r="I273" i="3"/>
  <c r="M257" i="3"/>
  <c r="I257" i="3" s="1"/>
  <c r="M258" i="3"/>
  <c r="I258" i="3" s="1"/>
  <c r="M259" i="3"/>
  <c r="I259" i="3" s="1"/>
  <c r="M260" i="3"/>
  <c r="M261" i="3"/>
  <c r="M262" i="3"/>
  <c r="M263" i="3"/>
  <c r="I263" i="3" s="1"/>
  <c r="I260" i="3"/>
  <c r="I261" i="3"/>
  <c r="I262" i="3"/>
  <c r="I256" i="3"/>
  <c r="M234" i="3"/>
  <c r="I234" i="3" s="1"/>
  <c r="M235" i="3"/>
  <c r="I235" i="3" s="1"/>
  <c r="M236" i="3"/>
  <c r="M237" i="3"/>
  <c r="M238" i="3"/>
  <c r="M239" i="3"/>
  <c r="M240" i="3"/>
  <c r="M241" i="3"/>
  <c r="M242" i="3"/>
  <c r="I242" i="3" s="1"/>
  <c r="M243" i="3"/>
  <c r="I243" i="3" s="1"/>
  <c r="M244" i="3"/>
  <c r="M245" i="3"/>
  <c r="I245" i="3" s="1"/>
  <c r="M246" i="3"/>
  <c r="I246" i="3" s="1"/>
  <c r="M247" i="3"/>
  <c r="I247" i="3" s="1"/>
  <c r="M248" i="3"/>
  <c r="I248" i="3" s="1"/>
  <c r="M249" i="3"/>
  <c r="I249" i="3" s="1"/>
  <c r="M250" i="3"/>
  <c r="I250" i="3" s="1"/>
  <c r="M251" i="3"/>
  <c r="I251" i="3" s="1"/>
  <c r="M252" i="3"/>
  <c r="I252" i="3" s="1"/>
  <c r="M253" i="3"/>
  <c r="I253" i="3" s="1"/>
  <c r="M254" i="3"/>
  <c r="I254" i="3" s="1"/>
  <c r="M255" i="3"/>
  <c r="I255" i="3" s="1"/>
  <c r="M256" i="3"/>
  <c r="I236" i="3"/>
  <c r="I237" i="3"/>
  <c r="I238" i="3"/>
  <c r="I239" i="3"/>
  <c r="I240" i="3"/>
  <c r="I241" i="3"/>
  <c r="I244" i="3"/>
  <c r="M219" i="3"/>
  <c r="I219" i="3" s="1"/>
  <c r="M220" i="3"/>
  <c r="I220" i="3" s="1"/>
  <c r="M221" i="3"/>
  <c r="I221" i="3" s="1"/>
  <c r="M222" i="3"/>
  <c r="I222" i="3" s="1"/>
  <c r="M223" i="3"/>
  <c r="I223" i="3" s="1"/>
  <c r="M224" i="3"/>
  <c r="I224" i="3" s="1"/>
  <c r="M225" i="3"/>
  <c r="I225" i="3" s="1"/>
  <c r="M226" i="3"/>
  <c r="I226" i="3" s="1"/>
  <c r="M227" i="3"/>
  <c r="I227" i="3" s="1"/>
  <c r="M228" i="3"/>
  <c r="I228" i="3" s="1"/>
  <c r="M229" i="3"/>
  <c r="I229" i="3" s="1"/>
  <c r="M230" i="3"/>
  <c r="I230" i="3" s="1"/>
  <c r="M231" i="3"/>
  <c r="I231" i="3" s="1"/>
  <c r="M232" i="3"/>
  <c r="I232" i="3" s="1"/>
  <c r="M233" i="3"/>
  <c r="I233" i="3" s="1"/>
  <c r="M204" i="3"/>
  <c r="I204" i="3" s="1"/>
  <c r="M205" i="3"/>
  <c r="I205" i="3" s="1"/>
  <c r="M206" i="3"/>
  <c r="I206" i="3" s="1"/>
  <c r="M207" i="3"/>
  <c r="M208" i="3"/>
  <c r="I208" i="3" s="1"/>
  <c r="M209" i="3"/>
  <c r="I209" i="3" s="1"/>
  <c r="M210" i="3"/>
  <c r="I210" i="3" s="1"/>
  <c r="M211" i="3"/>
  <c r="I211" i="3" s="1"/>
  <c r="M212" i="3"/>
  <c r="I212" i="3" s="1"/>
  <c r="M213" i="3"/>
  <c r="I213" i="3" s="1"/>
  <c r="M214" i="3"/>
  <c r="I214" i="3" s="1"/>
  <c r="M215" i="3"/>
  <c r="I215" i="3" s="1"/>
  <c r="M216" i="3"/>
  <c r="I216" i="3" s="1"/>
  <c r="M217" i="3"/>
  <c r="I217" i="3" s="1"/>
  <c r="M218" i="3"/>
  <c r="I218" i="3" s="1"/>
  <c r="I207" i="3"/>
  <c r="M189" i="3"/>
  <c r="M190" i="3"/>
  <c r="I190" i="3" s="1"/>
  <c r="M191" i="3"/>
  <c r="I191" i="3" s="1"/>
  <c r="M192" i="3"/>
  <c r="I192" i="3" s="1"/>
  <c r="M193" i="3"/>
  <c r="I193" i="3" s="1"/>
  <c r="M194" i="3"/>
  <c r="I194" i="3" s="1"/>
  <c r="M195" i="3"/>
  <c r="I195" i="3" s="1"/>
  <c r="M196" i="3"/>
  <c r="I196" i="3" s="1"/>
  <c r="M197" i="3"/>
  <c r="M198" i="3"/>
  <c r="I198" i="3" s="1"/>
  <c r="M199" i="3"/>
  <c r="I199" i="3" s="1"/>
  <c r="M200" i="3"/>
  <c r="I200" i="3" s="1"/>
  <c r="M201" i="3"/>
  <c r="I201" i="3" s="1"/>
  <c r="M202" i="3"/>
  <c r="I202" i="3" s="1"/>
  <c r="M203" i="3"/>
  <c r="I203" i="3" s="1"/>
  <c r="I189" i="3"/>
  <c r="I197" i="3"/>
  <c r="M174" i="3"/>
  <c r="I174" i="3" s="1"/>
  <c r="M175" i="3"/>
  <c r="I175" i="3" s="1"/>
  <c r="M176" i="3"/>
  <c r="I176" i="3" s="1"/>
  <c r="M177" i="3"/>
  <c r="I177" i="3" s="1"/>
  <c r="M178" i="3"/>
  <c r="I178" i="3" s="1"/>
  <c r="M179" i="3"/>
  <c r="I179" i="3" s="1"/>
  <c r="M180" i="3"/>
  <c r="I180" i="3" s="1"/>
  <c r="M181" i="3"/>
  <c r="I181" i="3" s="1"/>
  <c r="M182" i="3"/>
  <c r="I182" i="3" s="1"/>
  <c r="M183" i="3"/>
  <c r="I183" i="3" s="1"/>
  <c r="M184" i="3"/>
  <c r="I184" i="3" s="1"/>
  <c r="M185" i="3"/>
  <c r="I185" i="3" s="1"/>
  <c r="M186" i="3"/>
  <c r="I186" i="3" s="1"/>
  <c r="M187" i="3"/>
  <c r="I187" i="3" s="1"/>
  <c r="M188" i="3"/>
  <c r="I188" i="3" s="1"/>
  <c r="M165" i="3"/>
  <c r="I165" i="3" s="1"/>
  <c r="M166" i="3"/>
  <c r="I166" i="3" s="1"/>
  <c r="M167" i="3"/>
  <c r="I167" i="3" s="1"/>
  <c r="M168" i="3"/>
  <c r="M169" i="3"/>
  <c r="M170" i="3"/>
  <c r="M171" i="3"/>
  <c r="M172" i="3"/>
  <c r="M173" i="3"/>
  <c r="I168" i="3"/>
  <c r="I169" i="3"/>
  <c r="I170" i="3"/>
  <c r="I171" i="3"/>
  <c r="I172" i="3"/>
  <c r="I173" i="3"/>
  <c r="M155" i="3"/>
  <c r="I155" i="3" s="1"/>
  <c r="M156" i="3"/>
  <c r="M157" i="3"/>
  <c r="M158" i="3"/>
  <c r="M159" i="3"/>
  <c r="M160" i="3"/>
  <c r="M161" i="3"/>
  <c r="I161" i="3" s="1"/>
  <c r="M162" i="3"/>
  <c r="I162" i="3" s="1"/>
  <c r="M163" i="3"/>
  <c r="I163" i="3" s="1"/>
  <c r="M164" i="3"/>
  <c r="I164" i="3" s="1"/>
  <c r="I156" i="3"/>
  <c r="I157" i="3"/>
  <c r="I158" i="3"/>
  <c r="I159" i="3"/>
  <c r="I160" i="3"/>
  <c r="M140" i="3"/>
  <c r="M141" i="3"/>
  <c r="I141" i="3" s="1"/>
  <c r="M142" i="3"/>
  <c r="I142" i="3" s="1"/>
  <c r="M143" i="3"/>
  <c r="I143" i="3" s="1"/>
  <c r="M144" i="3"/>
  <c r="I144" i="3" s="1"/>
  <c r="M145" i="3"/>
  <c r="I145" i="3" s="1"/>
  <c r="M146" i="3"/>
  <c r="I146" i="3" s="1"/>
  <c r="M147" i="3"/>
  <c r="I147" i="3" s="1"/>
  <c r="M148" i="3"/>
  <c r="I148" i="3" s="1"/>
  <c r="M149" i="3"/>
  <c r="I149" i="3" s="1"/>
  <c r="M150" i="3"/>
  <c r="I150" i="3" s="1"/>
  <c r="M151" i="3"/>
  <c r="I151" i="3" s="1"/>
  <c r="M152" i="3"/>
  <c r="I152" i="3" s="1"/>
  <c r="M153" i="3"/>
  <c r="I153" i="3" s="1"/>
  <c r="M154" i="3"/>
  <c r="I154" i="3" s="1"/>
  <c r="I140" i="3"/>
  <c r="M138" i="3"/>
  <c r="M139" i="3"/>
  <c r="I138" i="3"/>
  <c r="I139" i="3"/>
  <c r="I137" i="3"/>
  <c r="M125" i="3"/>
  <c r="M126" i="3"/>
  <c r="M127" i="3"/>
  <c r="M128" i="3"/>
  <c r="I128" i="3" s="1"/>
  <c r="M129" i="3"/>
  <c r="I129" i="3" s="1"/>
  <c r="M130" i="3"/>
  <c r="I130" i="3" s="1"/>
  <c r="M131" i="3"/>
  <c r="I131" i="3" s="1"/>
  <c r="M132" i="3"/>
  <c r="I132" i="3" s="1"/>
  <c r="M133" i="3"/>
  <c r="I133" i="3" s="1"/>
  <c r="M134" i="3"/>
  <c r="I134" i="3" s="1"/>
  <c r="M135" i="3"/>
  <c r="I135" i="3" s="1"/>
  <c r="M136" i="3"/>
  <c r="I136" i="3" s="1"/>
  <c r="M137" i="3"/>
  <c r="I125" i="3"/>
  <c r="I126" i="3"/>
  <c r="I127" i="3"/>
  <c r="M110" i="3"/>
  <c r="I110" i="3" s="1"/>
  <c r="M111" i="3"/>
  <c r="M112" i="3"/>
  <c r="I112" i="3" s="1"/>
  <c r="M113" i="3"/>
  <c r="I113" i="3" s="1"/>
  <c r="M114" i="3"/>
  <c r="I114" i="3" s="1"/>
  <c r="M115" i="3"/>
  <c r="I115" i="3" s="1"/>
  <c r="M116" i="3"/>
  <c r="I116" i="3" s="1"/>
  <c r="M117" i="3"/>
  <c r="I117" i="3" s="1"/>
  <c r="M118" i="3"/>
  <c r="I118" i="3" s="1"/>
  <c r="M119" i="3"/>
  <c r="I119" i="3" s="1"/>
  <c r="M120" i="3"/>
  <c r="M121" i="3"/>
  <c r="I121" i="3" s="1"/>
  <c r="M122" i="3"/>
  <c r="I122" i="3" s="1"/>
  <c r="M123" i="3"/>
  <c r="I123" i="3" s="1"/>
  <c r="M124" i="3"/>
  <c r="I124" i="3" s="1"/>
  <c r="I111" i="3"/>
  <c r="I120" i="3"/>
  <c r="M95" i="3"/>
  <c r="I95" i="3" s="1"/>
  <c r="M96" i="3"/>
  <c r="I96" i="3" s="1"/>
  <c r="M97" i="3"/>
  <c r="I97" i="3" s="1"/>
  <c r="M98" i="3"/>
  <c r="I98" i="3" s="1"/>
  <c r="M99" i="3"/>
  <c r="I99" i="3" s="1"/>
  <c r="M100" i="3"/>
  <c r="M101" i="3"/>
  <c r="I101" i="3" s="1"/>
  <c r="M102" i="3"/>
  <c r="I102" i="3" s="1"/>
  <c r="M103" i="3"/>
  <c r="M104" i="3"/>
  <c r="I104" i="3" s="1"/>
  <c r="M105" i="3"/>
  <c r="I105" i="3" s="1"/>
  <c r="M106" i="3"/>
  <c r="I106" i="3" s="1"/>
  <c r="M107" i="3"/>
  <c r="I107" i="3" s="1"/>
  <c r="M108" i="3"/>
  <c r="I108" i="3" s="1"/>
  <c r="M109" i="3"/>
  <c r="I109" i="3" s="1"/>
  <c r="I100" i="3"/>
  <c r="I103" i="3"/>
  <c r="M80" i="3"/>
  <c r="I80" i="3" s="1"/>
  <c r="M81" i="3"/>
  <c r="I81" i="3" s="1"/>
  <c r="M82" i="3"/>
  <c r="M83" i="3"/>
  <c r="I83" i="3" s="1"/>
  <c r="M84" i="3"/>
  <c r="I84" i="3" s="1"/>
  <c r="M85" i="3"/>
  <c r="I85" i="3" s="1"/>
  <c r="M86" i="3"/>
  <c r="I86" i="3" s="1"/>
  <c r="M87" i="3"/>
  <c r="I87" i="3" s="1"/>
  <c r="M88" i="3"/>
  <c r="I88" i="3" s="1"/>
  <c r="M89" i="3"/>
  <c r="I89" i="3" s="1"/>
  <c r="M90" i="3"/>
  <c r="I90" i="3" s="1"/>
  <c r="M91" i="3"/>
  <c r="I91" i="3" s="1"/>
  <c r="M92" i="3"/>
  <c r="I92" i="3" s="1"/>
  <c r="M93" i="3"/>
  <c r="I93" i="3" s="1"/>
  <c r="M94" i="3"/>
  <c r="I94" i="3" s="1"/>
  <c r="I82" i="3"/>
  <c r="M71" i="3"/>
  <c r="I71" i="3" s="1"/>
  <c r="M72" i="3"/>
  <c r="M73" i="3"/>
  <c r="I73" i="3" s="1"/>
  <c r="M74" i="3"/>
  <c r="I74" i="3" s="1"/>
  <c r="M75" i="3"/>
  <c r="M76" i="3"/>
  <c r="M77" i="3"/>
  <c r="I77" i="3" s="1"/>
  <c r="M78" i="3"/>
  <c r="I78" i="3" s="1"/>
  <c r="M79" i="3"/>
  <c r="I79" i="3" s="1"/>
  <c r="I72" i="3"/>
  <c r="I75" i="3"/>
  <c r="I76" i="3"/>
  <c r="I62" i="3"/>
  <c r="I63" i="3"/>
  <c r="I64" i="3"/>
  <c r="I65" i="3"/>
  <c r="I66" i="3"/>
  <c r="I67" i="3"/>
  <c r="I68" i="3"/>
  <c r="I69" i="3"/>
  <c r="I70" i="3"/>
  <c r="M62" i="3"/>
  <c r="M63" i="3"/>
  <c r="M64" i="3"/>
  <c r="M65" i="3"/>
  <c r="M66" i="3"/>
  <c r="M67" i="3"/>
  <c r="M68" i="3"/>
  <c r="M69" i="3"/>
  <c r="M70" i="3"/>
  <c r="M25" i="14"/>
  <c r="I25" i="14"/>
  <c r="M24" i="14"/>
  <c r="I24" i="14"/>
  <c r="M23" i="14"/>
  <c r="I23" i="14"/>
  <c r="M22" i="14"/>
  <c r="I22" i="14"/>
  <c r="M21" i="14"/>
  <c r="I21" i="14"/>
  <c r="M20" i="14"/>
  <c r="I20" i="14"/>
  <c r="M19" i="14"/>
  <c r="I19" i="14"/>
  <c r="M18" i="14"/>
  <c r="I18" i="14" s="1"/>
  <c r="M17" i="14"/>
  <c r="I17" i="14"/>
  <c r="M16" i="14"/>
  <c r="I16" i="14"/>
  <c r="M15" i="14"/>
  <c r="I15" i="14"/>
  <c r="M14" i="14"/>
  <c r="I14" i="14"/>
  <c r="M13" i="14"/>
  <c r="I13" i="14"/>
  <c r="M12" i="14"/>
  <c r="I12" i="14"/>
  <c r="M11" i="14"/>
  <c r="I11" i="14"/>
  <c r="M10" i="14"/>
  <c r="I10" i="14" s="1"/>
  <c r="M9" i="14"/>
  <c r="I9" i="14"/>
  <c r="M8" i="14"/>
  <c r="I8" i="14"/>
  <c r="M7" i="14"/>
  <c r="I7" i="14"/>
  <c r="M6" i="14"/>
  <c r="I6" i="14"/>
  <c r="M5" i="14"/>
  <c r="I5" i="14"/>
  <c r="M4" i="14"/>
  <c r="I4" i="14"/>
  <c r="M3" i="14"/>
  <c r="I3" i="14"/>
  <c r="M2" i="14"/>
  <c r="I2" i="14" s="1"/>
  <c r="M47" i="3"/>
  <c r="M48" i="3"/>
  <c r="M49" i="3"/>
  <c r="M50" i="3"/>
  <c r="M51" i="3"/>
  <c r="M52" i="3"/>
  <c r="M53" i="3"/>
  <c r="I53" i="3" s="1"/>
  <c r="M54" i="3"/>
  <c r="I54" i="3" s="1"/>
  <c r="M55" i="3"/>
  <c r="I55" i="3" s="1"/>
  <c r="M56" i="3"/>
  <c r="I56" i="3" s="1"/>
  <c r="M57" i="3"/>
  <c r="M58" i="3"/>
  <c r="I58" i="3" s="1"/>
  <c r="M59" i="3"/>
  <c r="I59" i="3" s="1"/>
  <c r="M60" i="3"/>
  <c r="I60" i="3" s="1"/>
  <c r="M61" i="3"/>
  <c r="I61" i="3" s="1"/>
  <c r="I47" i="3"/>
  <c r="I48" i="3"/>
  <c r="I49" i="3"/>
  <c r="I50" i="3"/>
  <c r="I51" i="3"/>
  <c r="I52" i="3"/>
  <c r="I57" i="3"/>
  <c r="M3" i="4"/>
  <c r="M4" i="4"/>
  <c r="M5" i="4"/>
  <c r="M6" i="4"/>
  <c r="M7" i="4"/>
  <c r="M8" i="4"/>
  <c r="M9" i="4"/>
  <c r="M10" i="4"/>
  <c r="M11" i="4"/>
  <c r="M12" i="4"/>
  <c r="M13" i="4"/>
  <c r="I13" i="4" s="1"/>
  <c r="M14" i="4"/>
  <c r="I14" i="4" s="1"/>
  <c r="M15" i="4"/>
  <c r="I15" i="4" s="1"/>
  <c r="M16" i="4"/>
  <c r="I16" i="4" s="1"/>
  <c r="M17" i="4"/>
  <c r="I17" i="4" s="1"/>
  <c r="M18" i="4"/>
  <c r="I18" i="4" s="1"/>
  <c r="M19" i="4"/>
  <c r="M20" i="4"/>
  <c r="M21" i="4"/>
  <c r="M22" i="4"/>
  <c r="M23" i="4"/>
  <c r="M24" i="4"/>
  <c r="M25" i="4"/>
  <c r="M26" i="4"/>
  <c r="M27" i="4"/>
  <c r="M28" i="4"/>
  <c r="M29" i="4"/>
  <c r="I29" i="4" s="1"/>
  <c r="M30" i="4"/>
  <c r="I30" i="4" s="1"/>
  <c r="M31" i="4"/>
  <c r="I31" i="4" s="1"/>
  <c r="M32" i="4"/>
  <c r="I32" i="4" s="1"/>
  <c r="M33" i="4"/>
  <c r="I33" i="4" s="1"/>
  <c r="M2" i="4"/>
  <c r="I2" i="4" s="1"/>
  <c r="M9" i="3"/>
  <c r="M10" i="3"/>
  <c r="M11" i="3"/>
  <c r="M12" i="3"/>
  <c r="M13" i="3"/>
  <c r="M14" i="3"/>
  <c r="M15" i="3"/>
  <c r="M16" i="3"/>
  <c r="M17" i="3"/>
  <c r="I17" i="3" s="1"/>
  <c r="M18" i="3"/>
  <c r="M19" i="3"/>
  <c r="I19" i="3" s="1"/>
  <c r="M20" i="3"/>
  <c r="I20" i="3" s="1"/>
  <c r="M21" i="3"/>
  <c r="I21" i="3" s="1"/>
  <c r="M22" i="3"/>
  <c r="I22" i="3" s="1"/>
  <c r="M23" i="3"/>
  <c r="M24" i="3"/>
  <c r="I24" i="3" s="1"/>
  <c r="M25" i="3"/>
  <c r="M26" i="3"/>
  <c r="M27" i="3"/>
  <c r="M28" i="3"/>
  <c r="M29" i="3"/>
  <c r="M30" i="3"/>
  <c r="I30" i="3" s="1"/>
  <c r="M31" i="3"/>
  <c r="I31" i="3" s="1"/>
  <c r="M32" i="3"/>
  <c r="I32" i="3" s="1"/>
  <c r="M33" i="3"/>
  <c r="I33" i="3" s="1"/>
  <c r="M34" i="3"/>
  <c r="I34" i="3" s="1"/>
  <c r="M35" i="3"/>
  <c r="I35" i="3" s="1"/>
  <c r="M36" i="3"/>
  <c r="I36" i="3" s="1"/>
  <c r="M37" i="3"/>
  <c r="I37" i="3" s="1"/>
  <c r="M38" i="3"/>
  <c r="I38" i="3" s="1"/>
  <c r="M39" i="3"/>
  <c r="I39" i="3" s="1"/>
  <c r="M40" i="3"/>
  <c r="I40" i="3" s="1"/>
  <c r="M41" i="3"/>
  <c r="M42" i="3"/>
  <c r="M43" i="3"/>
  <c r="M44" i="3"/>
  <c r="M45" i="3"/>
  <c r="I45" i="3" s="1"/>
  <c r="M46" i="3"/>
  <c r="M2" i="3"/>
  <c r="M3" i="3"/>
  <c r="M4" i="3"/>
  <c r="I4" i="3" s="1"/>
  <c r="M5" i="3"/>
  <c r="I5" i="3" s="1"/>
  <c r="M6" i="3"/>
  <c r="I6" i="3" s="1"/>
  <c r="M7" i="3"/>
  <c r="M8" i="3"/>
  <c r="M19" i="13"/>
  <c r="M20" i="13"/>
  <c r="M21" i="13"/>
  <c r="M22" i="13"/>
  <c r="M23" i="13"/>
  <c r="M24" i="13"/>
  <c r="M25" i="13"/>
  <c r="I19" i="13"/>
  <c r="I20" i="13"/>
  <c r="I21" i="13"/>
  <c r="I22" i="13"/>
  <c r="I23" i="13"/>
  <c r="I24" i="13"/>
  <c r="I25" i="13"/>
  <c r="M12" i="13"/>
  <c r="I12" i="13" s="1"/>
  <c r="M13" i="13"/>
  <c r="I13" i="13" s="1"/>
  <c r="M14" i="13"/>
  <c r="M15" i="13"/>
  <c r="M16" i="13"/>
  <c r="M17" i="13"/>
  <c r="M18" i="13"/>
  <c r="I14" i="13"/>
  <c r="I15" i="13"/>
  <c r="I16" i="13"/>
  <c r="I17" i="13"/>
  <c r="I18" i="13"/>
  <c r="M11" i="13"/>
  <c r="I11" i="13"/>
  <c r="M10" i="13"/>
  <c r="I10" i="13" s="1"/>
  <c r="M9" i="13"/>
  <c r="I9" i="13" s="1"/>
  <c r="M8" i="13"/>
  <c r="I8" i="13"/>
  <c r="M7" i="13"/>
  <c r="I7" i="13" s="1"/>
  <c r="M6" i="13"/>
  <c r="I6" i="13"/>
  <c r="M5" i="13"/>
  <c r="I5" i="13" s="1"/>
  <c r="M4" i="13"/>
  <c r="I4" i="13" s="1"/>
  <c r="M3" i="13"/>
  <c r="I3" i="13"/>
  <c r="M2" i="13"/>
  <c r="I2" i="13" s="1"/>
  <c r="I3" i="4"/>
  <c r="I4" i="4"/>
  <c r="I5" i="4"/>
  <c r="I6" i="4"/>
  <c r="I7" i="4"/>
  <c r="I8" i="4"/>
  <c r="I9" i="4"/>
  <c r="I10" i="4"/>
  <c r="I11" i="4"/>
  <c r="I12" i="4"/>
  <c r="I19" i="4"/>
  <c r="I20" i="4"/>
  <c r="I21" i="4"/>
  <c r="I22" i="4"/>
  <c r="I23" i="4"/>
  <c r="I24" i="4"/>
  <c r="I25" i="4"/>
  <c r="I26" i="4"/>
  <c r="I27" i="4"/>
  <c r="I28" i="4"/>
  <c r="I7" i="3"/>
  <c r="I8" i="3"/>
  <c r="I9" i="3"/>
  <c r="I12" i="3"/>
  <c r="I13" i="3"/>
  <c r="I14" i="3"/>
  <c r="I15" i="3"/>
  <c r="I16" i="3"/>
  <c r="I18" i="3"/>
  <c r="I23" i="3"/>
  <c r="I25" i="3"/>
  <c r="I41" i="3"/>
  <c r="I43" i="3"/>
  <c r="I44" i="3"/>
  <c r="I46" i="3"/>
  <c r="I2" i="3"/>
  <c r="M11" i="11"/>
  <c r="M12" i="11"/>
  <c r="I12" i="11" s="1"/>
  <c r="I9" i="11"/>
  <c r="I10" i="11"/>
  <c r="I11" i="11"/>
  <c r="M10" i="11"/>
  <c r="M9" i="11"/>
  <c r="M8" i="11"/>
  <c r="I8" i="11" s="1"/>
  <c r="M7" i="11"/>
  <c r="I7" i="11" s="1"/>
  <c r="M6" i="11"/>
  <c r="I6" i="11"/>
  <c r="M5" i="11"/>
  <c r="I5" i="11"/>
  <c r="M4" i="11"/>
  <c r="I4" i="11"/>
  <c r="M3" i="11"/>
  <c r="I3" i="11"/>
  <c r="M2" i="11"/>
  <c r="I2" i="11" s="1"/>
  <c r="M10" i="10"/>
  <c r="M9" i="10"/>
  <c r="I9" i="10"/>
  <c r="M8" i="10"/>
  <c r="I8" i="10"/>
  <c r="M7" i="10"/>
  <c r="I7" i="10" s="1"/>
  <c r="M6" i="10"/>
  <c r="I6" i="10"/>
  <c r="M5" i="10"/>
  <c r="I5" i="10" s="1"/>
  <c r="M4" i="10"/>
  <c r="I4" i="10"/>
  <c r="M3" i="10"/>
  <c r="I3" i="10" s="1"/>
  <c r="M2" i="10"/>
  <c r="I2" i="10"/>
  <c r="I42" i="3"/>
  <c r="I10" i="3"/>
  <c r="I11" i="3"/>
  <c r="I3" i="3"/>
  <c r="I26" i="3"/>
  <c r="I27" i="3"/>
  <c r="I28" i="3"/>
  <c r="I29" i="3"/>
  <c r="M10" i="9"/>
  <c r="I10" i="9" s="1"/>
  <c r="M9" i="9"/>
  <c r="I9" i="9" s="1"/>
  <c r="M8" i="9"/>
  <c r="I8" i="9"/>
  <c r="M7" i="9"/>
  <c r="I7" i="9" s="1"/>
  <c r="M6" i="9"/>
  <c r="I6" i="9" s="1"/>
  <c r="M5" i="9"/>
  <c r="I5" i="9" s="1"/>
  <c r="M4" i="9"/>
  <c r="I4" i="9"/>
  <c r="M3" i="9"/>
  <c r="I3" i="9"/>
  <c r="M2" i="9"/>
  <c r="I2" i="9"/>
  <c r="I3" i="6"/>
  <c r="I4" i="6"/>
  <c r="I5" i="6"/>
  <c r="I6" i="6"/>
  <c r="I7" i="6"/>
  <c r="I8" i="6"/>
  <c r="I9" i="6"/>
  <c r="I10" i="6"/>
  <c r="I11" i="6"/>
  <c r="I12" i="6"/>
  <c r="I13" i="6"/>
  <c r="I14" i="6"/>
  <c r="I15" i="6"/>
  <c r="I16" i="6"/>
  <c r="I17" i="6"/>
  <c r="M10" i="7"/>
  <c r="I10" i="7"/>
  <c r="M9" i="7"/>
  <c r="I9" i="7"/>
  <c r="M8" i="7"/>
  <c r="I8" i="7" s="1"/>
  <c r="M7" i="7"/>
  <c r="I7" i="7"/>
  <c r="M6" i="7"/>
  <c r="I6" i="7"/>
  <c r="M5" i="7"/>
  <c r="I5" i="7" s="1"/>
  <c r="M4" i="7"/>
  <c r="I4" i="7" s="1"/>
  <c r="M3" i="7"/>
  <c r="I3" i="7" s="1"/>
  <c r="M2" i="7"/>
  <c r="I2" i="7"/>
  <c r="M16" i="6"/>
  <c r="M17" i="6"/>
  <c r="I2" i="6"/>
  <c r="M3" i="6"/>
  <c r="M4" i="6"/>
  <c r="M5" i="6"/>
  <c r="M6" i="6"/>
  <c r="M7" i="6"/>
  <c r="M8" i="6"/>
  <c r="M9" i="6"/>
  <c r="M10" i="6"/>
  <c r="M11" i="6"/>
  <c r="M12" i="6"/>
  <c r="M13" i="6"/>
  <c r="M14" i="6"/>
  <c r="M15" i="6"/>
  <c r="M2" i="6"/>
</calcChain>
</file>

<file path=xl/sharedStrings.xml><?xml version="1.0" encoding="utf-8"?>
<sst xmlns="http://schemas.openxmlformats.org/spreadsheetml/2006/main" count="809" uniqueCount="134">
  <si>
    <t>model</t>
  </si>
  <si>
    <t>price</t>
  </si>
  <si>
    <t>brand</t>
  </si>
  <si>
    <t>preorder</t>
  </si>
  <si>
    <t>Nike</t>
  </si>
  <si>
    <t>Mizuno</t>
  </si>
  <si>
    <t>men</t>
  </si>
  <si>
    <t>white</t>
  </si>
  <si>
    <t>gender</t>
  </si>
  <si>
    <t>color</t>
  </si>
  <si>
    <t>sku</t>
  </si>
  <si>
    <t xml:space="preserve"> Air Force 1 Low 07 (CW2288-111)</t>
  </si>
  <si>
    <t>image</t>
  </si>
  <si>
    <t>grey</t>
  </si>
  <si>
    <t>white green</t>
  </si>
  <si>
    <t>white grey</t>
  </si>
  <si>
    <t>Crosswild II (D1GH241003)</t>
  </si>
  <si>
    <t>LG 60S (D1GH242103)</t>
  </si>
  <si>
    <t>Racer S (D1GH223524)</t>
  </si>
  <si>
    <t>size US</t>
  </si>
  <si>
    <t>size EU</t>
  </si>
  <si>
    <t>100001_1 100001_2 100001_3</t>
  </si>
  <si>
    <t>500001_1 500001_2 500001_3</t>
  </si>
  <si>
    <t>500100_1 500100_2 500100_3</t>
  </si>
  <si>
    <t>500201_1 500201_2 500201_3</t>
  </si>
  <si>
    <t>yes</t>
  </si>
  <si>
    <t>500008_1 500008_2 500008_3</t>
  </si>
  <si>
    <t>description</t>
  </si>
  <si>
    <t>in stock</t>
  </si>
  <si>
    <t>Hoka</t>
  </si>
  <si>
    <t>brown</t>
  </si>
  <si>
    <t>600001_1 600001_2 600001_3 600001_4 600001_5 600001_6 600001_7</t>
  </si>
  <si>
    <t>no</t>
  </si>
  <si>
    <t>HOKA ONE ONE Kaha 3 (1162532-RWL)</t>
  </si>
  <si>
    <t>HOKA ONE ONE Kaha 2 Frost GTX (1155194-HYW)</t>
  </si>
  <si>
    <t>600009_1 600009_2 600009_3 600009_4 600009_5</t>
  </si>
  <si>
    <t>THE NORTH FACE</t>
  </si>
  <si>
    <t>700001_1 700001_2 700001_3 700001_4</t>
  </si>
  <si>
    <t>unisex</t>
  </si>
  <si>
    <t>GLENCLYFFE</t>
  </si>
  <si>
    <t>Timberland</t>
  </si>
  <si>
    <t>Greenstride Motion 6</t>
  </si>
  <si>
    <t>800001_1 800001_2 800001_3 800001_4 800001_5</t>
  </si>
  <si>
    <t>black</t>
  </si>
  <si>
    <t>100016_1 100016_2 100016_3 100016_4 100016_5 100016_6</t>
  </si>
  <si>
    <t>Cygnal</t>
  </si>
  <si>
    <t>100031_1 100031_2 100031_3 100031_4 100031_5 100031_6</t>
  </si>
  <si>
    <t>Adidas</t>
  </si>
  <si>
    <t xml:space="preserve">Puffylette </t>
  </si>
  <si>
    <t>900001_1 900001_2 900001_3 900001_4 900001_5 900001_6</t>
  </si>
  <si>
    <t>Native</t>
  </si>
  <si>
    <t>110001_1 110001_2 110001_3 110001_4 110001_5</t>
  </si>
  <si>
    <t>Fitzsimmons 3</t>
  </si>
  <si>
    <t>Dickies</t>
  </si>
  <si>
    <t>120001_1 120001_2 120001_3 120001_4 120001_5 120001_6</t>
  </si>
  <si>
    <t>yellow</t>
  </si>
  <si>
    <t>british style</t>
  </si>
  <si>
    <t>women</t>
  </si>
  <si>
    <t>120011_1 120011_2 120011_3 120011_4 120011_5 120011_6</t>
  </si>
  <si>
    <t xml:space="preserve">120018_1 120018_2 120018_3 120018_4 120018_5 </t>
  </si>
  <si>
    <t>Air Force 1 "wheat" mid</t>
  </si>
  <si>
    <t>100046_1 100046_2 100046_3 100046_4 100046_5 100046_6</t>
  </si>
  <si>
    <t>green</t>
  </si>
  <si>
    <t>100061_1 100061_2 100061_3 100061_4 100061_5</t>
  </si>
  <si>
    <t>Woodside</t>
  </si>
  <si>
    <t>100070_1 100070_2 100070_3 100070_4</t>
  </si>
  <si>
    <t>Приготовьтесь к новым приключениям с Woodside Chukka. Прочная конструкция сочетает в себе искусственный мех внутри и толстую резиновую накладку, чтобы ваши ноги оставались сухими и тёплыми.</t>
  </si>
  <si>
    <t>P-6000</t>
  </si>
  <si>
    <t>100079_1 100079_2 100079_3 100079_4 100079_5 100079_6</t>
  </si>
  <si>
    <t>Nike P-6000 әлдеқайда 2006 жылғы Nike Air Pegasus-тен шабыт алып, сізге бұрынғы 2000-ші жылдарды еске түсіретін, тыныс алуға мүмкіндік беретін және ыңғайлы біріктірілген көрнекті стильді ұсынады.
Nike P-6000 вдохновляется моделью Nike Air Pegasus 2006 года, предлагая вам смесь культового стиля, которая обеспечивает воздухопроницаемость, комфорт и вызывает ассоциации с атмосферой начала 2000-х.</t>
  </si>
  <si>
    <t>silver</t>
  </si>
  <si>
    <t>100094_1 100094_2 100094_3 100094_4 100094_5</t>
  </si>
  <si>
    <t>100109_1 100109_2 100109_3 100109_4 100109_5 100109_6</t>
  </si>
  <si>
    <t>Қала жағдайына арналған бұл қыстық Vomero нұсқасы дымқыл ауа райы үшін жасалған. Төзімді материалдар мен резеңке лайқорғағыш аяқ киімді кір мен шалшықтан қорғайды. Сонымен қатар, көлемді ортаңғы табан кез келген жерде жүрсеңіз, жайлылық пен стильді айқын сездіреді.
Созданная для городских условий, эта зимняя версия Vomero подходит для влажной погоды. Прочные материалы и резиновый грязезащитный кант помогают защитить обувь от грязи и луж. А массивная средняя подошва обеспечивает заметный комфорт и стиль, куда бы вы ни отправились.</t>
  </si>
  <si>
    <t xml:space="preserve">100124_1 100124_2 100124_3 100124_4 100124_5 </t>
  </si>
  <si>
    <t>Zoom Vomero Roam winterized</t>
  </si>
  <si>
    <t>100139_1 100139_2 100139_3 100139_4</t>
  </si>
  <si>
    <t>Lunar Force 1 Duckboot</t>
  </si>
  <si>
    <t>100154_1 100154_2 100154_3 100154_4 100154_5 100154_6</t>
  </si>
  <si>
    <t>Айдың қараңғы бетіне қарағанда суық болып, жаңбыр сіркіреп тұрған күннің өзінде де стильді көріну керек. Су өткізбейтін былғары мен мықты табанның арқасында Lunar Force 1 AF1 стилін ауа райына бейімдеп, сенің жалқыны сөніп қалмайды. Шнурға арналған металл бөлшектер мен үлкейтілген тілше тау етігінің беріктігін береді, ал мұрын бөлігіндегі жұлдызша өрнегі бейнеңе айқындық қосады.
Когда на улице холоднее, чем на тёмной стороне Луны, и ещё моросит дождь — всё равно нужно выглядеть круто. Благодаря водоотталкивающей коже и прочной подошве Lunar Force 1 адаптирует стиль AF1 так, чтобы ты сохранял свой огонь в любую погоду. Металлическая фурнитура для шнурков и увеличенный язык придают ботинкам прочность в стиле горной обуви, а звёздный узор на носке добавляет образу остроты.</t>
  </si>
  <si>
    <t>Offline 3.0 slippers</t>
  </si>
  <si>
    <t>100164_1 100164_2 100164_3 100164_4 100164_5</t>
  </si>
  <si>
    <t>Air Jordan 1 low</t>
  </si>
  <si>
    <t>100173_1 100173_2 100173_3 100173_4 100173_5</t>
  </si>
  <si>
    <t>1985 жылғы алғашқы модельден шабыт алған Air Jordan 1 Low таза да классикалық стиль ұсынады — әрі таныс, әрі әрдайым заманауи. Кез келген киіммен үйлесетін культтік дизайнының арқасында бұл кроссовкалар әрқашан мінсіз көрінуіңе көмектеседі.
Вдохновлённые оригинальной моделью 1985 года, Air Jordan 1 Low предлагают чистый, классический образ, который одновременно знакомый и всегда свежий. Благодаря культовому дизайну, идеально сочетающемуся с любым стилем, эти кроссовки гарантируют, что ты всегда будешь выглядеть безупречно.</t>
  </si>
  <si>
    <t>100188_1 100188_2 100188_3 100188_4 100188_5</t>
  </si>
  <si>
    <t>blue</t>
  </si>
  <si>
    <t>100203_1 100203_2 100203_3 100203_4 100203_5 100203_6</t>
  </si>
  <si>
    <t>100218_1 100218_2 100218_3 100218_4 100218_5 100218_6</t>
  </si>
  <si>
    <t>Классикаға әрқашан сенуге болады. Dunk Low өзіне тән аңызға айналған түстік стилін премиум материалдармен және жұмсақ ішкі қабатпен үйлестіріп, ерекше жайлылық береді. Мүмкіндіктер шексіз — Dunks-ыңды қалай киесің?
На классику всегда можно положиться. Dunk Low сочетает свой легендарный цветовой стиль с премиальными материалами и мягкой подкладкой, обеспечивая комфорт нового уровня. Возможности безграничны — как будешь носить свои Dunks?</t>
  </si>
  <si>
    <t>Dunk SB Low Pro</t>
  </si>
  <si>
    <t>100233_1 100233_2 100233_3 100233_4 100233_5 100233_6</t>
  </si>
  <si>
    <t>red</t>
  </si>
  <si>
    <t>100248_1 100248_2 100248_3 100248_4 100248_5 100248_6</t>
  </si>
  <si>
    <t>Dunk Low Retro</t>
  </si>
  <si>
    <t>100263_1 100263_2 100263_3 100263_4 100263_5 100263_6</t>
  </si>
  <si>
    <t>100273_1 100273_2 100273_3 100273_4 100273_5 100273_6</t>
  </si>
  <si>
    <t>100283_1 100283_2 100283_3 100283_4 100283_5 100283_6</t>
  </si>
  <si>
    <t>100293_1 100293_2 100293_3 100293_4 100293_5 100293_6</t>
  </si>
  <si>
    <t>purple</t>
  </si>
  <si>
    <t>100303_1 100303_2 100303_3 100303_4 100303_5 100303_6</t>
  </si>
  <si>
    <t>Dunk</t>
  </si>
  <si>
    <t>white/black</t>
  </si>
  <si>
    <t>100313_1 100313_2 100313_3 100313_4 100313_5</t>
  </si>
  <si>
    <t>100325_1 100325_2 100325_3 100325_4 100325_5</t>
  </si>
  <si>
    <t>Бастапқыда баскетбол алаңына арналғанымен, кейін көше стилінің символына айналған 80-жылдардағы аңыз қайта оралды — мінсіз әрленген бөлшектермен және классикалық команда түстерімен. Өзінің танымал баскетбол стилінің арқасында Nike Dunk Low 80-жылдардың винтаж рухын қайта алып келеді, ал жұмсақ төмен жағындағы жағасы кез келген жерде жайлылық сыйлайды.
Созданная для баскетбольной площадки, но ставшая уличной легендой, икона 80-х возвращается с идеально отполированными деталями и классическими командными цветами. Благодаря фирменному баскетбольному дизайну Nike Dunk Low приносит винтажный дух 80-х обратно на улицы, а мягкий низкий ворот обеспечивает комфорт, куда бы ты ни отправился.</t>
  </si>
  <si>
    <t>Asics</t>
  </si>
  <si>
    <t>JOLT 3 PS</t>
  </si>
  <si>
    <t>girl</t>
  </si>
  <si>
    <t>130001_1 130001_2 130001_3 130001_4</t>
  </si>
  <si>
    <t>K13</t>
  </si>
  <si>
    <t>Удобные и практичные детские кроссовки, созданные для активного образа жизни. Модель вдохновлена беговой линейкой ASICS GT и отлично подходит как для спорта, так и для повседневной носки.
Комфорт на каждый день
Продуманная посадка в передней части стопы обеспечивает удобство даже при длительном ношении. Лёгкая конструкция снижает нагрузку на ноги ребёнка.
Дышащие материалы
Сетчатый верх способствует циркуляции воздуха и помогает сохранять комфортную температуру внутри обуви.
Надёжная фиксация и поддержка
Синтетические накладки усиливают конструкцию верха и обеспечивают дополнительную стабильность стопы.
Износостойкость
Усиленный носок и прочная резиновая подошва делают модель устойчивой к активному использованию и продлевают срок службы.</t>
  </si>
  <si>
    <t>Runfalcon 2.0 EL K</t>
  </si>
  <si>
    <t>boys</t>
  </si>
  <si>
    <t>10,5K</t>
  </si>
  <si>
    <t>Кроссовки созданы для активного повседневного использования — школа, прогулки, спорт. Верх выполнен из дышащей сетки, которая обеспечивает вентиляцию и комфорт в течение дня. Модель отличается легкой конструкцией и хорошей амортизацией, благодаря EVA-пене в подошве, что снижает нагрузку на стопу при беге и ходьбе. Используются переработанные материалы (не менее 50%), что соответствует экологической стратегии adidas.</t>
  </si>
  <si>
    <t>900010_1 900010_2 900010_3 900010_4 900010_5 900010_6</t>
  </si>
  <si>
    <t>130002_1 130002_2 130002_3 130002_4</t>
  </si>
  <si>
    <t>k12</t>
  </si>
  <si>
    <t>Court Borough Low 2</t>
  </si>
  <si>
    <t>100335_1 100335_2 100335_3 100335_4 100335_5 100335_6</t>
  </si>
  <si>
    <t>Кроссовки Nike Court Borough Low 2 (GS) выполнены в классическом баскетбольном ретро-стиле, адаптированном для повседневного ношения. Верх сочетает натуральную и синтетическую кожу, обеспечивая прочность и поддержку. Модель отличается низким профилем, плотной фиксацией стопы за счёт шнуровки (иногда с липучкой в детских версиях) и перфорацией для вентиляции. Резиновая подошва с протектором обеспечивает сцепление и долговечность, а гибкие желобки улучшают естественное движение стопы.</t>
  </si>
  <si>
    <t>100336_1 100336_2 100336_3</t>
  </si>
  <si>
    <t>Revolution 6 NN</t>
  </si>
  <si>
    <t>100338_1 100338_2 100338_3 100338_4 100338_5 100338_6</t>
  </si>
  <si>
    <t>Эта модель выделяется уникальным дизайном и превосходными характеристиками. Верхняя часть выполнена из сетчатого материала, обеспечивающего отличную воздухопроницаемость, что позволяет ногам оставаться сухими и комфортными даже во время длительных тренировок. Сетчатый материал также обладает хорошими амортизирующими свойствами, эффективно снижая ударную нагрузку при беге и обеспечивая стабильную поддержку стопы.
Кроме того, кроссовки отличаются противоскользящими и износостойкими свойствами. Подошва изготовлена из специальной резиновой смеси, обеспечивающей превосходное сцепление с поверхностью и долговечность. Благодаря этому обувь гарантирует устойчивость как на ровной дороге, так и на сложном рельефе. Резиновая подошва также обладает хорошей упругостью, создавая комфортную амортизацию и снижая усталость ног.
В дизайне Nike REVOLUTION 6 Next Nature Low NN использована классическая черно-белая цветовая гамма, сочетающая минимализм и современность. Низкий силуэт не только подчеркивает линии стопы, но и обеспечивает повышенную гибкость и свободу движений во время активности.</t>
  </si>
  <si>
    <t>5y</t>
  </si>
  <si>
    <t>4y</t>
  </si>
  <si>
    <t>7y</t>
  </si>
  <si>
    <t>https://ibb.co.com/qMZNjg2v
https://ibb.co.com/8nXXptJh 
https://ibb.co.com/xSf1R34J 
https://ibb.co.com/bjVzWtHV 
https://ibb.co.com/Zz2ZFSs6 
https://ibb.co.com/RGGtkY9L</t>
  </si>
  <si>
    <t>https://ibb.co.com/HL9sCCvq
https://ibb.co.com/pvFkhMQK
https://ibb.co.com/sp1k7mt7
https://ibb.co.com/M5fPNLgd</t>
  </si>
  <si>
    <t>https://ibb.co.com/pBnKmYp3
https://ibb.co.com/DP4Q2qhw
https://ibb.co.com/tw2qGfKD</t>
  </si>
  <si>
    <t>https://ibb.co.com/kVnjLhST
https://ibb.co.com/jZrG5VD4
https://ibb.co.com/fVfk5tbk
https://ibb.co.com/840Khwpy
https://ibb.co.com/gM01nrbj
https://ibb.co.com/ZpCL07Z2</t>
  </si>
  <si>
    <t>https://ibb.co.com/Qvxk9yf0
https://ibb.co.com/ZpNh8TLk
https://ibb.co.com/pBz6GC1J
https://ibb.co.com/svyYfZ5w
https://ibb.co.com/zTrKmB47
https://ibb.co.com/gMdqw04Q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</si>
</sst>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 ;[Red]\-0.0\ "/>
    <numFmt numFmtId="165" formatCode="0.0"/>
  </numFmts>
  <fonts count="4" x14ac:knownFonts="1">
    <font>
      <sz val="11"/>
      <color theme="1"/>
      <name val="Calibri"/>
      <family val="2"/>
      <charset val="204"/>
      <scheme val="minor"/>
    </font>
    <font>
      <sz val="8"/>
      <name val="Calibri"/>
      <family val="2"/>
      <charset val="204"/>
      <scheme val="minor"/>
    </font>
    <font>
      <sz val="11"/>
      <color rgb="FF00184F"/>
      <name val="Calibri"/>
      <family val="2"/>
      <charset val="204"/>
      <scheme val="minor"/>
    </font>
    <font>
      <u/>
      <sz val="11"/>
      <color theme="10"/>
      <name val="Calibri"/>
      <family val="2"/>
      <charset val="204"/>
      <scheme val="minor"/>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164" fontId="0" fillId="0" borderId="1" xfId="0" applyNumberFormat="1" applyBorder="1" applyAlignment="1">
      <alignment horizontal="center" vertical="center"/>
    </xf>
    <xf numFmtId="1" fontId="0" fillId="0" borderId="0" xfId="0" applyNumberFormat="1" applyAlignment="1">
      <alignment horizontal="center" vertical="center"/>
    </xf>
    <xf numFmtId="1" fontId="0" fillId="0" borderId="1" xfId="0" applyNumberFormat="1" applyBorder="1" applyAlignment="1">
      <alignment horizontal="center" vertical="center"/>
    </xf>
    <xf numFmtId="0" fontId="0" fillId="0" borderId="1" xfId="0" applyBorder="1"/>
    <xf numFmtId="165" fontId="0" fillId="0" borderId="1" xfId="0" applyNumberFormat="1" applyBorder="1" applyAlignment="1">
      <alignment horizontal="center" vertical="center"/>
    </xf>
    <xf numFmtId="0" fontId="0" fillId="0" borderId="0" xfId="0" applyAlignment="1">
      <alignment wrapText="1"/>
    </xf>
    <xf numFmtId="0" fontId="0" fillId="0" borderId="1" xfId="0" applyBorder="1" applyAlignment="1">
      <alignment horizontal="center" vertical="center" wrapText="1"/>
    </xf>
    <xf numFmtId="49" fontId="0" fillId="0" borderId="1" xfId="0" applyNumberFormat="1" applyBorder="1" applyAlignment="1">
      <alignment horizontal="left" vertical="center" wrapText="1"/>
    </xf>
    <xf numFmtId="0" fontId="0" fillId="0" borderId="2" xfId="0" applyBorder="1" applyAlignment="1">
      <alignment horizontal="center" vertical="center"/>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0" fontId="0" fillId="0" borderId="0" xfId="0" applyAlignment="1">
      <alignment horizontal="center" vertical="center" wrapText="1"/>
    </xf>
    <xf numFmtId="0" fontId="0" fillId="0" borderId="3" xfId="0" applyBorder="1" applyAlignment="1">
      <alignment horizontal="center" vertical="center"/>
    </xf>
    <xf numFmtId="0" fontId="3" fillId="0" borderId="0" xfId="1" applyBorder="1" applyAlignment="1">
      <alignment wrapText="1"/>
    </xf>
    <xf numFmtId="0" fontId="2" fillId="2" borderId="0" xfId="0" applyFont="1" applyFill="1" applyBorder="1" applyAlignment="1">
      <alignment horizontal="center" vertical="center"/>
    </xf>
    <xf numFmtId="0" fontId="0" fillId="0" borderId="0" xfId="0" applyBorder="1"/>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hyperlink" Target="https://ibb.co.com/qMZNjg2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E1A44-280D-4411-9C01-14D3EB718FB5}">
  <dimension ref="A1:O363"/>
  <sheetViews>
    <sheetView tabSelected="1" zoomScale="70" zoomScaleNormal="70" workbookViewId="0">
      <pane ySplit="1" topLeftCell="A337" activePane="bottomLeft" state="frozen"/>
      <selection pane="bottomLeft" activeCell="Q339" sqref="Q339"/>
    </sheetView>
  </sheetViews>
  <sheetFormatPr defaultRowHeight="14.6" x14ac:dyDescent="0.4"/>
  <cols>
    <col min="1" max="2" width="9.23046875" style="2"/>
    <col min="3" max="3" width="31.84375" style="2" bestFit="1" customWidth="1"/>
    <col min="4" max="4" width="9.23046875" style="2"/>
    <col min="5" max="5" width="10.53515625" style="2" bestFit="1" customWidth="1"/>
    <col min="6" max="6" width="58.07421875" style="2" bestFit="1" customWidth="1"/>
    <col min="7" max="7" width="7.4609375" style="2" customWidth="1"/>
    <col min="8" max="8" width="6.61328125" style="2" bestFit="1" customWidth="1"/>
    <col min="9" max="9" width="6.84375" style="2" bestFit="1" customWidth="1"/>
    <col min="10" max="10" width="8.15234375" style="2" bestFit="1" customWidth="1"/>
    <col min="11" max="11" width="7.15234375" style="2" bestFit="1" customWidth="1"/>
    <col min="12" max="12" width="48.84375" style="2" customWidth="1"/>
    <col min="13" max="14" width="9.23046875" style="2"/>
    <col min="15" max="15" width="27.3046875" style="2" customWidth="1"/>
    <col min="16" max="16384" width="9.23046875" style="2"/>
  </cols>
  <sheetData>
    <row r="1" spans="1:14" ht="18.45" customHeight="1" x14ac:dyDescent="0.4">
      <c r="A1" s="1" t="s">
        <v>10</v>
      </c>
      <c r="B1" s="1" t="s">
        <v>2</v>
      </c>
      <c r="C1" s="1" t="s">
        <v>0</v>
      </c>
      <c r="D1" s="1" t="s">
        <v>8</v>
      </c>
      <c r="E1" s="1" t="s">
        <v>9</v>
      </c>
      <c r="F1" s="1" t="s">
        <v>12</v>
      </c>
      <c r="G1" s="1" t="s">
        <v>19</v>
      </c>
      <c r="H1" s="1" t="s">
        <v>20</v>
      </c>
      <c r="I1" s="1" t="s">
        <v>1</v>
      </c>
      <c r="J1" s="1" t="s">
        <v>3</v>
      </c>
      <c r="K1" s="1" t="s">
        <v>28</v>
      </c>
      <c r="L1" s="1" t="s">
        <v>27</v>
      </c>
    </row>
    <row r="2" spans="1:14" x14ac:dyDescent="0.4">
      <c r="A2" s="1">
        <v>100001</v>
      </c>
      <c r="B2" s="1" t="s">
        <v>4</v>
      </c>
      <c r="C2" s="1" t="s">
        <v>11</v>
      </c>
      <c r="D2" s="1" t="s">
        <v>38</v>
      </c>
      <c r="E2" s="1" t="s">
        <v>7</v>
      </c>
      <c r="F2" s="1" t="s">
        <v>21</v>
      </c>
      <c r="G2" s="1">
        <v>3.5</v>
      </c>
      <c r="H2" s="1">
        <v>35.5</v>
      </c>
      <c r="I2" s="5">
        <f>M2</f>
        <v>71641.315789473694</v>
      </c>
      <c r="J2" s="1"/>
      <c r="K2" s="1" t="s">
        <v>25</v>
      </c>
      <c r="L2" s="1"/>
      <c r="M2" s="4">
        <f t="shared" ref="M2:M7" si="0">(N2*75+N2*75*0.01+15000+4200+5000)/0.95</f>
        <v>71641.315789473694</v>
      </c>
      <c r="N2" s="2">
        <v>579</v>
      </c>
    </row>
    <row r="3" spans="1:14" x14ac:dyDescent="0.4">
      <c r="A3" s="1">
        <v>100002</v>
      </c>
      <c r="B3" s="1"/>
      <c r="C3" s="1"/>
      <c r="D3" s="1"/>
      <c r="E3" s="1"/>
      <c r="F3" s="1"/>
      <c r="G3" s="1">
        <v>4</v>
      </c>
      <c r="H3" s="1">
        <v>36</v>
      </c>
      <c r="I3" s="5">
        <f t="shared" ref="I3:I66" si="1">M3</f>
        <v>71641.315789473694</v>
      </c>
      <c r="J3" s="1"/>
      <c r="K3" s="1" t="s">
        <v>25</v>
      </c>
      <c r="L3" s="1"/>
      <c r="M3" s="4">
        <f t="shared" si="0"/>
        <v>71641.315789473694</v>
      </c>
      <c r="N3" s="2">
        <v>579</v>
      </c>
    </row>
    <row r="4" spans="1:14" x14ac:dyDescent="0.4">
      <c r="A4" s="1">
        <v>100003</v>
      </c>
      <c r="B4" s="1"/>
      <c r="C4" s="1"/>
      <c r="D4" s="1"/>
      <c r="E4" s="1"/>
      <c r="F4" s="1"/>
      <c r="G4" s="1">
        <v>4.5</v>
      </c>
      <c r="H4" s="1">
        <v>36.5</v>
      </c>
      <c r="I4" s="5">
        <f t="shared" si="1"/>
        <v>71641.315789473694</v>
      </c>
      <c r="J4" s="1"/>
      <c r="K4" s="1" t="s">
        <v>25</v>
      </c>
      <c r="L4" s="1"/>
      <c r="M4" s="4">
        <f t="shared" si="0"/>
        <v>71641.315789473694</v>
      </c>
      <c r="N4" s="2">
        <v>579</v>
      </c>
    </row>
    <row r="5" spans="1:14" x14ac:dyDescent="0.4">
      <c r="A5" s="1">
        <v>100004</v>
      </c>
      <c r="B5" s="1"/>
      <c r="C5" s="1"/>
      <c r="D5" s="1"/>
      <c r="E5" s="1"/>
      <c r="F5" s="1"/>
      <c r="G5" s="1">
        <v>5</v>
      </c>
      <c r="H5" s="1">
        <v>37.5</v>
      </c>
      <c r="I5" s="5">
        <f t="shared" si="1"/>
        <v>71641.315789473694</v>
      </c>
      <c r="J5" s="1"/>
      <c r="K5" s="1" t="s">
        <v>25</v>
      </c>
      <c r="L5" s="1"/>
      <c r="M5" s="4">
        <f t="shared" si="0"/>
        <v>71641.315789473694</v>
      </c>
      <c r="N5" s="2">
        <v>579</v>
      </c>
    </row>
    <row r="6" spans="1:14" x14ac:dyDescent="0.4">
      <c r="A6" s="1">
        <v>100005</v>
      </c>
      <c r="B6" s="1"/>
      <c r="C6" s="1"/>
      <c r="D6" s="1"/>
      <c r="E6" s="1"/>
      <c r="F6" s="1"/>
      <c r="G6" s="1">
        <v>5.5</v>
      </c>
      <c r="H6" s="1">
        <v>38</v>
      </c>
      <c r="I6" s="5">
        <f t="shared" si="1"/>
        <v>71641.315789473694</v>
      </c>
      <c r="J6" s="1"/>
      <c r="K6" s="1" t="s">
        <v>25</v>
      </c>
      <c r="L6" s="1"/>
      <c r="M6" s="4">
        <f t="shared" si="0"/>
        <v>71641.315789473694</v>
      </c>
      <c r="N6" s="2">
        <v>579</v>
      </c>
    </row>
    <row r="7" spans="1:14" x14ac:dyDescent="0.4">
      <c r="A7" s="1">
        <v>100006</v>
      </c>
      <c r="B7" s="1"/>
      <c r="C7" s="1"/>
      <c r="D7" s="1"/>
      <c r="E7" s="1"/>
      <c r="F7" s="1"/>
      <c r="G7" s="1">
        <v>6</v>
      </c>
      <c r="H7" s="1">
        <v>38.5</v>
      </c>
      <c r="I7" s="5">
        <f t="shared" si="1"/>
        <v>71641.315789473694</v>
      </c>
      <c r="J7" s="1"/>
      <c r="K7" s="1" t="s">
        <v>25</v>
      </c>
      <c r="L7" s="1"/>
      <c r="M7" s="4">
        <f t="shared" si="0"/>
        <v>71641.315789473694</v>
      </c>
      <c r="N7" s="2">
        <v>579</v>
      </c>
    </row>
    <row r="8" spans="1:14" x14ac:dyDescent="0.4">
      <c r="A8" s="1">
        <v>100007</v>
      </c>
      <c r="B8" s="1"/>
      <c r="C8" s="1"/>
      <c r="D8" s="1"/>
      <c r="E8" s="1"/>
      <c r="F8" s="1"/>
      <c r="G8" s="1">
        <v>6.5</v>
      </c>
      <c r="H8" s="1">
        <v>39</v>
      </c>
      <c r="I8" s="5">
        <f t="shared" si="1"/>
        <v>71641.315789473694</v>
      </c>
      <c r="J8" s="1"/>
      <c r="K8" s="1" t="s">
        <v>25</v>
      </c>
      <c r="L8" s="1"/>
      <c r="M8" s="4">
        <f>(N8*75+N8*75*0.01+15000+4200+5000)/0.95</f>
        <v>71641.315789473694</v>
      </c>
      <c r="N8" s="2">
        <v>579</v>
      </c>
    </row>
    <row r="9" spans="1:14" x14ac:dyDescent="0.4">
      <c r="A9" s="1">
        <v>100008</v>
      </c>
      <c r="B9" s="1"/>
      <c r="C9" s="1"/>
      <c r="D9" s="1"/>
      <c r="E9" s="1"/>
      <c r="F9" s="1"/>
      <c r="G9" s="1">
        <v>7</v>
      </c>
      <c r="H9" s="1">
        <v>40</v>
      </c>
      <c r="I9" s="5">
        <f t="shared" si="1"/>
        <v>71641.315789473694</v>
      </c>
      <c r="J9" s="1"/>
      <c r="K9" s="1" t="s">
        <v>25</v>
      </c>
      <c r="L9" s="1"/>
      <c r="M9" s="4">
        <f t="shared" ref="M9:M72" si="2">(N9*75+N9*75*0.01+15000+4200+5000)/0.95</f>
        <v>71641.315789473694</v>
      </c>
      <c r="N9" s="2">
        <v>579</v>
      </c>
    </row>
    <row r="10" spans="1:14" x14ac:dyDescent="0.4">
      <c r="A10" s="1">
        <v>100009</v>
      </c>
      <c r="B10" s="1"/>
      <c r="C10" s="1"/>
      <c r="D10" s="1"/>
      <c r="E10" s="1"/>
      <c r="F10" s="1"/>
      <c r="G10" s="1">
        <v>7.5</v>
      </c>
      <c r="H10" s="1">
        <v>40.5</v>
      </c>
      <c r="I10" s="5">
        <f t="shared" si="1"/>
        <v>71641.315789473694</v>
      </c>
      <c r="J10" s="1"/>
      <c r="K10" s="1" t="s">
        <v>25</v>
      </c>
      <c r="L10" s="1"/>
      <c r="M10" s="4">
        <f t="shared" si="2"/>
        <v>71641.315789473694</v>
      </c>
      <c r="N10" s="2">
        <v>579</v>
      </c>
    </row>
    <row r="11" spans="1:14" x14ac:dyDescent="0.4">
      <c r="A11" s="1">
        <v>100010</v>
      </c>
      <c r="B11" s="1"/>
      <c r="C11" s="1"/>
      <c r="D11" s="1"/>
      <c r="E11" s="1"/>
      <c r="F11" s="1"/>
      <c r="G11" s="1">
        <v>8</v>
      </c>
      <c r="H11" s="1">
        <v>41</v>
      </c>
      <c r="I11" s="5">
        <f t="shared" si="1"/>
        <v>71641.315789473694</v>
      </c>
      <c r="J11" s="1"/>
      <c r="K11" s="1" t="s">
        <v>25</v>
      </c>
      <c r="L11" s="1"/>
      <c r="M11" s="4">
        <f t="shared" si="2"/>
        <v>71641.315789473694</v>
      </c>
      <c r="N11" s="2">
        <v>579</v>
      </c>
    </row>
    <row r="12" spans="1:14" x14ac:dyDescent="0.4">
      <c r="A12" s="1">
        <v>100011</v>
      </c>
      <c r="B12" s="1"/>
      <c r="C12" s="1"/>
      <c r="D12" s="1"/>
      <c r="E12" s="1"/>
      <c r="F12" s="1"/>
      <c r="G12" s="1">
        <v>8.5</v>
      </c>
      <c r="H12" s="1">
        <v>42</v>
      </c>
      <c r="I12" s="5">
        <f t="shared" si="1"/>
        <v>71641.315789473694</v>
      </c>
      <c r="J12" s="1"/>
      <c r="K12" s="1" t="s">
        <v>25</v>
      </c>
      <c r="L12" s="1"/>
      <c r="M12" s="4">
        <f t="shared" si="2"/>
        <v>71641.315789473694</v>
      </c>
      <c r="N12" s="2">
        <v>579</v>
      </c>
    </row>
    <row r="13" spans="1:14" x14ac:dyDescent="0.4">
      <c r="A13" s="1">
        <v>100012</v>
      </c>
      <c r="B13" s="1"/>
      <c r="C13" s="1"/>
      <c r="D13" s="1"/>
      <c r="E13" s="1"/>
      <c r="F13" s="1"/>
      <c r="G13" s="1">
        <v>9</v>
      </c>
      <c r="H13" s="1">
        <v>42.5</v>
      </c>
      <c r="I13" s="5">
        <f t="shared" si="1"/>
        <v>71641.315789473694</v>
      </c>
      <c r="J13" s="1"/>
      <c r="K13" s="1" t="s">
        <v>25</v>
      </c>
      <c r="L13" s="1"/>
      <c r="M13" s="4">
        <f t="shared" si="2"/>
        <v>71641.315789473694</v>
      </c>
      <c r="N13" s="2">
        <v>579</v>
      </c>
    </row>
    <row r="14" spans="1:14" x14ac:dyDescent="0.4">
      <c r="A14" s="1">
        <v>100013</v>
      </c>
      <c r="B14" s="1"/>
      <c r="C14" s="1"/>
      <c r="D14" s="1"/>
      <c r="E14" s="1"/>
      <c r="F14" s="1"/>
      <c r="G14" s="1">
        <v>9.5</v>
      </c>
      <c r="H14" s="1">
        <v>43</v>
      </c>
      <c r="I14" s="5">
        <f t="shared" si="1"/>
        <v>71641.315789473694</v>
      </c>
      <c r="J14" s="1"/>
      <c r="K14" s="1" t="s">
        <v>25</v>
      </c>
      <c r="L14" s="1"/>
      <c r="M14" s="4">
        <f t="shared" si="2"/>
        <v>71641.315789473694</v>
      </c>
      <c r="N14" s="2">
        <v>579</v>
      </c>
    </row>
    <row r="15" spans="1:14" x14ac:dyDescent="0.4">
      <c r="A15" s="1">
        <v>100014</v>
      </c>
      <c r="B15" s="1"/>
      <c r="C15" s="1"/>
      <c r="D15" s="1"/>
      <c r="E15" s="1"/>
      <c r="F15" s="1"/>
      <c r="G15" s="1">
        <v>10</v>
      </c>
      <c r="H15" s="1">
        <v>44</v>
      </c>
      <c r="I15" s="5">
        <f t="shared" si="1"/>
        <v>71641.315789473694</v>
      </c>
      <c r="J15" s="1"/>
      <c r="K15" s="1" t="s">
        <v>25</v>
      </c>
      <c r="L15" s="1"/>
      <c r="M15" s="4">
        <f t="shared" si="2"/>
        <v>71641.315789473694</v>
      </c>
      <c r="N15" s="2">
        <v>579</v>
      </c>
    </row>
    <row r="16" spans="1:14" x14ac:dyDescent="0.4">
      <c r="A16" s="1">
        <v>100015</v>
      </c>
      <c r="B16" s="1"/>
      <c r="C16" s="1"/>
      <c r="D16" s="1"/>
      <c r="E16" s="1"/>
      <c r="F16" s="1"/>
      <c r="G16" s="1">
        <v>10.5</v>
      </c>
      <c r="H16" s="1">
        <v>44.5</v>
      </c>
      <c r="I16" s="5">
        <f t="shared" si="1"/>
        <v>71641.315789473694</v>
      </c>
      <c r="J16" s="1"/>
      <c r="K16" s="1" t="s">
        <v>25</v>
      </c>
      <c r="L16" s="1"/>
      <c r="M16" s="4">
        <f t="shared" si="2"/>
        <v>71641.315789473694</v>
      </c>
      <c r="N16" s="2">
        <v>579</v>
      </c>
    </row>
    <row r="17" spans="1:14" x14ac:dyDescent="0.4">
      <c r="A17" s="1">
        <v>100016</v>
      </c>
      <c r="B17" s="1"/>
      <c r="C17" s="1"/>
      <c r="D17" s="1"/>
      <c r="E17" s="1" t="s">
        <v>43</v>
      </c>
      <c r="F17" s="1" t="s">
        <v>44</v>
      </c>
      <c r="G17" s="1">
        <v>3.5</v>
      </c>
      <c r="H17" s="1">
        <v>35.5</v>
      </c>
      <c r="I17" s="5">
        <f t="shared" si="1"/>
        <v>71641.315789473694</v>
      </c>
      <c r="J17" s="1"/>
      <c r="K17" s="1" t="s">
        <v>25</v>
      </c>
      <c r="L17" s="1"/>
      <c r="M17" s="4">
        <f t="shared" si="2"/>
        <v>71641.315789473694</v>
      </c>
      <c r="N17" s="2">
        <v>579</v>
      </c>
    </row>
    <row r="18" spans="1:14" x14ac:dyDescent="0.4">
      <c r="A18" s="1">
        <v>100017</v>
      </c>
      <c r="B18" s="1"/>
      <c r="C18" s="1"/>
      <c r="D18" s="1"/>
      <c r="E18" s="1"/>
      <c r="F18" s="1"/>
      <c r="G18" s="1">
        <v>4</v>
      </c>
      <c r="H18" s="1">
        <v>36</v>
      </c>
      <c r="I18" s="5">
        <f t="shared" si="1"/>
        <v>71641.315789473694</v>
      </c>
      <c r="J18" s="1"/>
      <c r="K18" s="1" t="s">
        <v>25</v>
      </c>
      <c r="L18" s="1"/>
      <c r="M18" s="4">
        <f t="shared" si="2"/>
        <v>71641.315789473694</v>
      </c>
      <c r="N18" s="2">
        <v>579</v>
      </c>
    </row>
    <row r="19" spans="1:14" x14ac:dyDescent="0.4">
      <c r="A19" s="1">
        <v>100018</v>
      </c>
      <c r="B19" s="1"/>
      <c r="C19" s="1"/>
      <c r="D19" s="1"/>
      <c r="E19" s="1"/>
      <c r="F19" s="1"/>
      <c r="G19" s="1">
        <v>4.5</v>
      </c>
      <c r="H19" s="1">
        <v>36.5</v>
      </c>
      <c r="I19" s="5">
        <f t="shared" si="1"/>
        <v>71641.315789473694</v>
      </c>
      <c r="J19" s="1"/>
      <c r="K19" s="1" t="s">
        <v>25</v>
      </c>
      <c r="L19" s="1"/>
      <c r="M19" s="4">
        <f t="shared" si="2"/>
        <v>71641.315789473694</v>
      </c>
      <c r="N19" s="2">
        <v>579</v>
      </c>
    </row>
    <row r="20" spans="1:14" x14ac:dyDescent="0.4">
      <c r="A20" s="1">
        <v>100019</v>
      </c>
      <c r="B20" s="1"/>
      <c r="C20" s="1"/>
      <c r="D20" s="1"/>
      <c r="E20" s="1"/>
      <c r="F20" s="1"/>
      <c r="G20" s="1">
        <v>5</v>
      </c>
      <c r="H20" s="1">
        <v>37.5</v>
      </c>
      <c r="I20" s="5">
        <f t="shared" si="1"/>
        <v>71641.315789473694</v>
      </c>
      <c r="J20" s="1"/>
      <c r="K20" s="1" t="s">
        <v>25</v>
      </c>
      <c r="L20" s="1"/>
      <c r="M20" s="4">
        <f t="shared" si="2"/>
        <v>71641.315789473694</v>
      </c>
      <c r="N20" s="2">
        <v>579</v>
      </c>
    </row>
    <row r="21" spans="1:14" x14ac:dyDescent="0.4">
      <c r="A21" s="1">
        <v>100020</v>
      </c>
      <c r="B21" s="1"/>
      <c r="C21" s="1"/>
      <c r="D21" s="1"/>
      <c r="E21" s="1"/>
      <c r="F21" s="1"/>
      <c r="G21" s="1">
        <v>5.5</v>
      </c>
      <c r="H21" s="1">
        <v>38</v>
      </c>
      <c r="I21" s="5">
        <f t="shared" si="1"/>
        <v>71641.315789473694</v>
      </c>
      <c r="J21" s="1"/>
      <c r="K21" s="1" t="s">
        <v>25</v>
      </c>
      <c r="L21" s="1"/>
      <c r="M21" s="4">
        <f t="shared" si="2"/>
        <v>71641.315789473694</v>
      </c>
      <c r="N21" s="2">
        <v>579</v>
      </c>
    </row>
    <row r="22" spans="1:14" x14ac:dyDescent="0.4">
      <c r="A22" s="1">
        <v>100021</v>
      </c>
      <c r="B22" s="1"/>
      <c r="C22" s="1"/>
      <c r="D22" s="1"/>
      <c r="E22" s="1"/>
      <c r="F22" s="1"/>
      <c r="G22" s="1">
        <v>6</v>
      </c>
      <c r="H22" s="1">
        <v>38.5</v>
      </c>
      <c r="I22" s="5">
        <f t="shared" si="1"/>
        <v>71641.315789473694</v>
      </c>
      <c r="J22" s="1"/>
      <c r="K22" s="1" t="s">
        <v>25</v>
      </c>
      <c r="L22" s="1"/>
      <c r="M22" s="4">
        <f t="shared" si="2"/>
        <v>71641.315789473694</v>
      </c>
      <c r="N22" s="2">
        <v>579</v>
      </c>
    </row>
    <row r="23" spans="1:14" x14ac:dyDescent="0.4">
      <c r="A23" s="1">
        <v>100022</v>
      </c>
      <c r="B23" s="1"/>
      <c r="C23" s="1"/>
      <c r="D23" s="1"/>
      <c r="E23" s="1"/>
      <c r="F23" s="1"/>
      <c r="G23" s="1">
        <v>6.5</v>
      </c>
      <c r="H23" s="1">
        <v>39</v>
      </c>
      <c r="I23" s="5">
        <f t="shared" si="1"/>
        <v>71641.315789473694</v>
      </c>
      <c r="J23" s="1"/>
      <c r="K23" s="1" t="s">
        <v>25</v>
      </c>
      <c r="L23" s="1"/>
      <c r="M23" s="4">
        <f t="shared" si="2"/>
        <v>71641.315789473694</v>
      </c>
      <c r="N23" s="2">
        <v>579</v>
      </c>
    </row>
    <row r="24" spans="1:14" x14ac:dyDescent="0.4">
      <c r="A24" s="1">
        <v>100023</v>
      </c>
      <c r="B24" s="1"/>
      <c r="C24" s="1"/>
      <c r="D24" s="1"/>
      <c r="E24" s="1"/>
      <c r="F24" s="1"/>
      <c r="G24" s="1">
        <v>7</v>
      </c>
      <c r="H24" s="1">
        <v>40</v>
      </c>
      <c r="I24" s="5">
        <f t="shared" si="1"/>
        <v>71641.315789473694</v>
      </c>
      <c r="J24" s="1"/>
      <c r="K24" s="1" t="s">
        <v>25</v>
      </c>
      <c r="L24" s="1"/>
      <c r="M24" s="4">
        <f t="shared" si="2"/>
        <v>71641.315789473694</v>
      </c>
      <c r="N24" s="2">
        <v>579</v>
      </c>
    </row>
    <row r="25" spans="1:14" x14ac:dyDescent="0.4">
      <c r="A25" s="1">
        <v>100024</v>
      </c>
      <c r="B25" s="1"/>
      <c r="C25" s="1"/>
      <c r="D25" s="1"/>
      <c r="E25" s="1"/>
      <c r="F25" s="1"/>
      <c r="G25" s="1">
        <v>7.5</v>
      </c>
      <c r="H25" s="1">
        <v>40.5</v>
      </c>
      <c r="I25" s="5">
        <f t="shared" si="1"/>
        <v>71641.315789473694</v>
      </c>
      <c r="J25" s="1"/>
      <c r="K25" s="1" t="s">
        <v>25</v>
      </c>
      <c r="L25" s="1"/>
      <c r="M25" s="4">
        <f t="shared" si="2"/>
        <v>71641.315789473694</v>
      </c>
      <c r="N25" s="2">
        <v>579</v>
      </c>
    </row>
    <row r="26" spans="1:14" x14ac:dyDescent="0.4">
      <c r="A26" s="1">
        <v>100025</v>
      </c>
      <c r="B26" s="1"/>
      <c r="C26" s="1"/>
      <c r="D26" s="1"/>
      <c r="E26" s="1"/>
      <c r="F26" s="1"/>
      <c r="G26" s="1">
        <v>8</v>
      </c>
      <c r="H26" s="1">
        <v>41</v>
      </c>
      <c r="I26" s="5">
        <f t="shared" si="1"/>
        <v>71641.315789473694</v>
      </c>
      <c r="J26" s="1"/>
      <c r="K26" s="1" t="s">
        <v>25</v>
      </c>
      <c r="L26" s="1"/>
      <c r="M26" s="4">
        <f t="shared" si="2"/>
        <v>71641.315789473694</v>
      </c>
      <c r="N26" s="2">
        <v>579</v>
      </c>
    </row>
    <row r="27" spans="1:14" x14ac:dyDescent="0.4">
      <c r="A27" s="1">
        <v>100026</v>
      </c>
      <c r="B27" s="1"/>
      <c r="C27" s="1"/>
      <c r="D27" s="1"/>
      <c r="E27" s="1"/>
      <c r="F27" s="1"/>
      <c r="G27" s="1">
        <v>8.5</v>
      </c>
      <c r="H27" s="1">
        <v>42</v>
      </c>
      <c r="I27" s="5">
        <f t="shared" si="1"/>
        <v>71641.315789473694</v>
      </c>
      <c r="J27" s="1"/>
      <c r="K27" s="1" t="s">
        <v>25</v>
      </c>
      <c r="L27" s="1"/>
      <c r="M27" s="4">
        <f t="shared" si="2"/>
        <v>71641.315789473694</v>
      </c>
      <c r="N27" s="2">
        <v>579</v>
      </c>
    </row>
    <row r="28" spans="1:14" x14ac:dyDescent="0.4">
      <c r="A28" s="1">
        <v>100027</v>
      </c>
      <c r="B28" s="1"/>
      <c r="C28" s="1"/>
      <c r="D28" s="1"/>
      <c r="E28" s="1"/>
      <c r="F28" s="1"/>
      <c r="G28" s="1">
        <v>9</v>
      </c>
      <c r="H28" s="1">
        <v>42.5</v>
      </c>
      <c r="I28" s="5">
        <f t="shared" si="1"/>
        <v>71641.315789473694</v>
      </c>
      <c r="J28" s="1"/>
      <c r="K28" s="1" t="s">
        <v>25</v>
      </c>
      <c r="L28" s="1"/>
      <c r="M28" s="4">
        <f t="shared" si="2"/>
        <v>71641.315789473694</v>
      </c>
      <c r="N28" s="2">
        <v>579</v>
      </c>
    </row>
    <row r="29" spans="1:14" x14ac:dyDescent="0.4">
      <c r="A29" s="1">
        <v>100028</v>
      </c>
      <c r="B29" s="1"/>
      <c r="C29" s="1"/>
      <c r="D29" s="1"/>
      <c r="E29" s="1"/>
      <c r="F29" s="1"/>
      <c r="G29" s="1">
        <v>9.5</v>
      </c>
      <c r="H29" s="1">
        <v>43</v>
      </c>
      <c r="I29" s="5">
        <f t="shared" si="1"/>
        <v>71641.315789473694</v>
      </c>
      <c r="J29" s="1"/>
      <c r="K29" s="1" t="s">
        <v>25</v>
      </c>
      <c r="L29" s="1"/>
      <c r="M29" s="4">
        <f t="shared" si="2"/>
        <v>71641.315789473694</v>
      </c>
      <c r="N29" s="2">
        <v>579</v>
      </c>
    </row>
    <row r="30" spans="1:14" x14ac:dyDescent="0.4">
      <c r="A30" s="1">
        <v>100029</v>
      </c>
      <c r="B30" s="1"/>
      <c r="C30" s="1"/>
      <c r="D30" s="1"/>
      <c r="E30" s="1"/>
      <c r="F30" s="1"/>
      <c r="G30" s="1">
        <v>10</v>
      </c>
      <c r="H30" s="1">
        <v>44</v>
      </c>
      <c r="I30" s="5">
        <f t="shared" si="1"/>
        <v>71641.315789473694</v>
      </c>
      <c r="J30" s="1"/>
      <c r="K30" s="1" t="s">
        <v>25</v>
      </c>
      <c r="L30" s="1"/>
      <c r="M30" s="4">
        <f t="shared" si="2"/>
        <v>71641.315789473694</v>
      </c>
      <c r="N30" s="2">
        <v>579</v>
      </c>
    </row>
    <row r="31" spans="1:14" x14ac:dyDescent="0.4">
      <c r="A31" s="1">
        <v>100030</v>
      </c>
      <c r="B31" s="1"/>
      <c r="C31" s="1"/>
      <c r="D31" s="1"/>
      <c r="E31" s="1"/>
      <c r="F31" s="1"/>
      <c r="G31" s="1">
        <v>10.5</v>
      </c>
      <c r="H31" s="1">
        <v>44.5</v>
      </c>
      <c r="I31" s="5">
        <f t="shared" si="1"/>
        <v>71641.315789473694</v>
      </c>
      <c r="J31" s="1"/>
      <c r="K31" s="1" t="s">
        <v>25</v>
      </c>
      <c r="L31" s="1"/>
      <c r="M31" s="4">
        <f t="shared" si="2"/>
        <v>71641.315789473694</v>
      </c>
      <c r="N31" s="2">
        <v>579</v>
      </c>
    </row>
    <row r="32" spans="1:14" x14ac:dyDescent="0.4">
      <c r="A32" s="1">
        <v>100031</v>
      </c>
      <c r="B32" s="1"/>
      <c r="C32" s="1" t="s">
        <v>45</v>
      </c>
      <c r="D32" s="1" t="s">
        <v>38</v>
      </c>
      <c r="E32" s="1" t="s">
        <v>30</v>
      </c>
      <c r="F32" s="1" t="s">
        <v>46</v>
      </c>
      <c r="G32" s="1">
        <v>3.5</v>
      </c>
      <c r="H32" s="1">
        <v>35.5</v>
      </c>
      <c r="I32" s="5">
        <f t="shared" si="1"/>
        <v>81209.736842105267</v>
      </c>
      <c r="J32" s="1"/>
      <c r="K32" s="1" t="s">
        <v>32</v>
      </c>
      <c r="L32" s="1"/>
      <c r="M32" s="4">
        <f t="shared" si="2"/>
        <v>81209.736842105267</v>
      </c>
      <c r="N32" s="2">
        <v>699</v>
      </c>
    </row>
    <row r="33" spans="1:14" x14ac:dyDescent="0.4">
      <c r="A33" s="1">
        <v>100032</v>
      </c>
      <c r="B33" s="1"/>
      <c r="C33" s="1"/>
      <c r="D33" s="1"/>
      <c r="E33" s="1"/>
      <c r="F33" s="1"/>
      <c r="G33" s="1">
        <v>4</v>
      </c>
      <c r="H33" s="1">
        <v>36</v>
      </c>
      <c r="I33" s="5">
        <f t="shared" si="1"/>
        <v>81209.736842105267</v>
      </c>
      <c r="J33" s="1"/>
      <c r="K33" s="1" t="s">
        <v>25</v>
      </c>
      <c r="L33" s="1"/>
      <c r="M33" s="4">
        <f t="shared" si="2"/>
        <v>81209.736842105267</v>
      </c>
      <c r="N33" s="2">
        <v>699</v>
      </c>
    </row>
    <row r="34" spans="1:14" x14ac:dyDescent="0.4">
      <c r="A34" s="1">
        <v>100033</v>
      </c>
      <c r="B34" s="1"/>
      <c r="C34" s="1"/>
      <c r="D34" s="1"/>
      <c r="E34" s="1"/>
      <c r="F34" s="1"/>
      <c r="G34" s="1">
        <v>4.5</v>
      </c>
      <c r="H34" s="1">
        <v>36.5</v>
      </c>
      <c r="I34" s="5">
        <f t="shared" si="1"/>
        <v>73236.052631578947</v>
      </c>
      <c r="J34" s="1"/>
      <c r="K34" s="1" t="s">
        <v>25</v>
      </c>
      <c r="L34" s="1"/>
      <c r="M34" s="4">
        <f t="shared" si="2"/>
        <v>73236.052631578947</v>
      </c>
      <c r="N34" s="2">
        <v>599</v>
      </c>
    </row>
    <row r="35" spans="1:14" x14ac:dyDescent="0.4">
      <c r="A35" s="1">
        <v>100034</v>
      </c>
      <c r="B35" s="1"/>
      <c r="C35" s="1"/>
      <c r="D35" s="1"/>
      <c r="E35" s="1"/>
      <c r="F35" s="1"/>
      <c r="G35" s="1">
        <v>5</v>
      </c>
      <c r="H35" s="1">
        <v>37.5</v>
      </c>
      <c r="I35" s="5">
        <f t="shared" si="1"/>
        <v>25473.684210526317</v>
      </c>
      <c r="J35" s="1"/>
      <c r="K35" s="1" t="s">
        <v>32</v>
      </c>
      <c r="L35" s="1"/>
      <c r="M35" s="4">
        <f t="shared" si="2"/>
        <v>25473.684210526317</v>
      </c>
    </row>
    <row r="36" spans="1:14" x14ac:dyDescent="0.4">
      <c r="A36" s="1">
        <v>100035</v>
      </c>
      <c r="B36" s="1"/>
      <c r="C36" s="1"/>
      <c r="D36" s="1"/>
      <c r="E36" s="1"/>
      <c r="F36" s="1"/>
      <c r="G36" s="1">
        <v>5.5</v>
      </c>
      <c r="H36" s="1">
        <v>38</v>
      </c>
      <c r="I36" s="5">
        <f t="shared" si="1"/>
        <v>73236.052631578947</v>
      </c>
      <c r="J36" s="1"/>
      <c r="K36" s="1" t="s">
        <v>25</v>
      </c>
      <c r="L36" s="1"/>
      <c r="M36" s="4">
        <f t="shared" si="2"/>
        <v>73236.052631578947</v>
      </c>
      <c r="N36" s="2">
        <v>599</v>
      </c>
    </row>
    <row r="37" spans="1:14" x14ac:dyDescent="0.4">
      <c r="A37" s="1">
        <v>100036</v>
      </c>
      <c r="B37" s="1"/>
      <c r="C37" s="1"/>
      <c r="D37" s="1"/>
      <c r="E37" s="1"/>
      <c r="F37" s="1"/>
      <c r="G37" s="1">
        <v>6</v>
      </c>
      <c r="H37" s="1">
        <v>38.5</v>
      </c>
      <c r="I37" s="5">
        <f t="shared" si="1"/>
        <v>64465</v>
      </c>
      <c r="J37" s="1"/>
      <c r="K37" s="1" t="s">
        <v>25</v>
      </c>
      <c r="L37" s="1"/>
      <c r="M37" s="4">
        <f t="shared" si="2"/>
        <v>64465</v>
      </c>
      <c r="N37" s="2">
        <v>489</v>
      </c>
    </row>
    <row r="38" spans="1:14" x14ac:dyDescent="0.4">
      <c r="A38" s="1">
        <v>100037</v>
      </c>
      <c r="B38" s="1"/>
      <c r="C38" s="1"/>
      <c r="D38" s="1"/>
      <c r="E38" s="1"/>
      <c r="F38" s="1"/>
      <c r="G38" s="1">
        <v>6.5</v>
      </c>
      <c r="H38" s="1">
        <v>39</v>
      </c>
      <c r="I38" s="5">
        <f t="shared" si="1"/>
        <v>58086.052631578947</v>
      </c>
      <c r="J38" s="1"/>
      <c r="K38" s="1" t="s">
        <v>25</v>
      </c>
      <c r="L38" s="1"/>
      <c r="M38" s="4">
        <f t="shared" si="2"/>
        <v>58086.052631578947</v>
      </c>
      <c r="N38" s="2">
        <v>409</v>
      </c>
    </row>
    <row r="39" spans="1:14" x14ac:dyDescent="0.4">
      <c r="A39" s="1">
        <v>100038</v>
      </c>
      <c r="B39" s="1"/>
      <c r="C39" s="1"/>
      <c r="D39" s="1"/>
      <c r="E39" s="1"/>
      <c r="F39" s="1"/>
      <c r="G39" s="1">
        <v>7</v>
      </c>
      <c r="H39" s="1">
        <v>40</v>
      </c>
      <c r="I39" s="5">
        <f t="shared" si="1"/>
        <v>63667.631578947374</v>
      </c>
      <c r="J39" s="1"/>
      <c r="K39" s="1" t="s">
        <v>25</v>
      </c>
      <c r="L39" s="1"/>
      <c r="M39" s="4">
        <f t="shared" si="2"/>
        <v>63667.631578947374</v>
      </c>
      <c r="N39" s="2">
        <v>479</v>
      </c>
    </row>
    <row r="40" spans="1:14" x14ac:dyDescent="0.4">
      <c r="A40" s="1">
        <v>100039</v>
      </c>
      <c r="B40" s="1"/>
      <c r="C40" s="1"/>
      <c r="D40" s="1"/>
      <c r="E40" s="1"/>
      <c r="F40" s="1"/>
      <c r="G40" s="1">
        <v>7.5</v>
      </c>
      <c r="H40" s="1">
        <v>40.5</v>
      </c>
      <c r="I40" s="5">
        <f t="shared" si="1"/>
        <v>65262.368421052633</v>
      </c>
      <c r="J40" s="1"/>
      <c r="K40" s="1" t="s">
        <v>25</v>
      </c>
      <c r="L40" s="1"/>
      <c r="M40" s="4">
        <f t="shared" si="2"/>
        <v>65262.368421052633</v>
      </c>
      <c r="N40" s="2">
        <v>499</v>
      </c>
    </row>
    <row r="41" spans="1:14" x14ac:dyDescent="0.4">
      <c r="A41" s="1">
        <v>100040</v>
      </c>
      <c r="B41" s="1"/>
      <c r="C41" s="1"/>
      <c r="D41" s="1"/>
      <c r="E41" s="1"/>
      <c r="F41" s="1"/>
      <c r="G41" s="1">
        <v>8</v>
      </c>
      <c r="H41" s="1">
        <v>41</v>
      </c>
      <c r="I41" s="5">
        <f t="shared" si="1"/>
        <v>151457.89473684211</v>
      </c>
      <c r="J41" s="1"/>
      <c r="K41" s="1" t="s">
        <v>25</v>
      </c>
      <c r="L41" s="1"/>
      <c r="M41" s="4">
        <f t="shared" si="2"/>
        <v>151457.89473684211</v>
      </c>
      <c r="N41" s="2">
        <v>1580</v>
      </c>
    </row>
    <row r="42" spans="1:14" x14ac:dyDescent="0.4">
      <c r="A42" s="1">
        <v>100041</v>
      </c>
      <c r="B42" s="1"/>
      <c r="C42" s="1"/>
      <c r="D42" s="1"/>
      <c r="E42" s="1"/>
      <c r="F42" s="1"/>
      <c r="G42" s="1">
        <v>8.5</v>
      </c>
      <c r="H42" s="1">
        <v>42</v>
      </c>
      <c r="I42" s="5">
        <f t="shared" si="1"/>
        <v>144520.78947368421</v>
      </c>
      <c r="J42" s="1"/>
      <c r="K42" s="1" t="s">
        <v>25</v>
      </c>
      <c r="L42" s="1"/>
      <c r="M42" s="4">
        <f t="shared" si="2"/>
        <v>144520.78947368421</v>
      </c>
      <c r="N42" s="2">
        <v>1493</v>
      </c>
    </row>
    <row r="43" spans="1:14" x14ac:dyDescent="0.4">
      <c r="A43" s="1">
        <v>100042</v>
      </c>
      <c r="B43" s="1"/>
      <c r="C43" s="1"/>
      <c r="D43" s="1"/>
      <c r="E43" s="1"/>
      <c r="F43" s="1"/>
      <c r="G43" s="1">
        <v>9</v>
      </c>
      <c r="H43" s="1">
        <v>42.5</v>
      </c>
      <c r="I43" s="5">
        <f t="shared" si="1"/>
        <v>77541.84210526316</v>
      </c>
      <c r="J43" s="1"/>
      <c r="K43" s="1" t="s">
        <v>25</v>
      </c>
      <c r="L43" s="1"/>
      <c r="M43" s="4">
        <f t="shared" si="2"/>
        <v>77541.84210526316</v>
      </c>
      <c r="N43" s="2">
        <v>653</v>
      </c>
    </row>
    <row r="44" spans="1:14" x14ac:dyDescent="0.4">
      <c r="A44" s="1">
        <v>100043</v>
      </c>
      <c r="B44" s="1"/>
      <c r="C44" s="1"/>
      <c r="D44" s="1"/>
      <c r="E44" s="1"/>
      <c r="F44" s="1"/>
      <c r="G44" s="1">
        <v>9.5</v>
      </c>
      <c r="H44" s="1">
        <v>43</v>
      </c>
      <c r="I44" s="5">
        <f t="shared" si="1"/>
        <v>73236.052631578947</v>
      </c>
      <c r="J44" s="1"/>
      <c r="K44" s="1" t="s">
        <v>25</v>
      </c>
      <c r="L44" s="1"/>
      <c r="M44" s="4">
        <f t="shared" si="2"/>
        <v>73236.052631578947</v>
      </c>
      <c r="N44" s="2">
        <v>599</v>
      </c>
    </row>
    <row r="45" spans="1:14" x14ac:dyDescent="0.4">
      <c r="A45" s="1">
        <v>100044</v>
      </c>
      <c r="B45" s="1"/>
      <c r="C45" s="1"/>
      <c r="D45" s="1"/>
      <c r="E45" s="1"/>
      <c r="F45" s="1"/>
      <c r="G45" s="1">
        <v>10</v>
      </c>
      <c r="H45" s="1">
        <v>44</v>
      </c>
      <c r="I45" s="5">
        <f t="shared" si="1"/>
        <v>94924.473684210534</v>
      </c>
      <c r="J45" s="1"/>
      <c r="K45" s="1" t="s">
        <v>25</v>
      </c>
      <c r="L45" s="1"/>
      <c r="M45" s="4">
        <f t="shared" si="2"/>
        <v>94924.473684210534</v>
      </c>
      <c r="N45" s="2">
        <v>871</v>
      </c>
    </row>
    <row r="46" spans="1:14" x14ac:dyDescent="0.4">
      <c r="A46" s="1">
        <v>100045</v>
      </c>
      <c r="B46" s="1"/>
      <c r="C46" s="1"/>
      <c r="D46" s="1"/>
      <c r="E46" s="1"/>
      <c r="F46" s="1"/>
      <c r="G46" s="1">
        <v>10.5</v>
      </c>
      <c r="H46" s="1">
        <v>44.5</v>
      </c>
      <c r="I46" s="5">
        <f t="shared" si="1"/>
        <v>81050.263157894748</v>
      </c>
      <c r="J46" s="1"/>
      <c r="K46" s="1" t="s">
        <v>25</v>
      </c>
      <c r="L46" s="1"/>
      <c r="M46" s="4">
        <f t="shared" si="2"/>
        <v>81050.263157894748</v>
      </c>
      <c r="N46" s="2">
        <v>697</v>
      </c>
    </row>
    <row r="47" spans="1:14" x14ac:dyDescent="0.4">
      <c r="A47" s="1">
        <v>100046</v>
      </c>
      <c r="B47" s="1"/>
      <c r="C47" s="1" t="s">
        <v>60</v>
      </c>
      <c r="D47" s="1" t="s">
        <v>38</v>
      </c>
      <c r="E47" s="1" t="s">
        <v>30</v>
      </c>
      <c r="F47" s="1" t="s">
        <v>61</v>
      </c>
      <c r="I47" s="5">
        <f t="shared" si="1"/>
        <v>88386.052631578947</v>
      </c>
      <c r="J47" s="1"/>
      <c r="K47" s="1" t="s">
        <v>25</v>
      </c>
      <c r="L47" s="1"/>
      <c r="M47" s="4">
        <f t="shared" si="2"/>
        <v>88386.052631578947</v>
      </c>
      <c r="N47" s="2">
        <v>789</v>
      </c>
    </row>
    <row r="48" spans="1:14" x14ac:dyDescent="0.4">
      <c r="A48" s="1">
        <v>100047</v>
      </c>
      <c r="B48" s="1"/>
      <c r="C48" s="1"/>
      <c r="D48" s="1"/>
      <c r="E48" s="1"/>
      <c r="F48" s="1"/>
      <c r="I48" s="5">
        <f t="shared" si="1"/>
        <v>129051.84210526316</v>
      </c>
      <c r="J48" s="1"/>
      <c r="K48" s="1" t="s">
        <v>25</v>
      </c>
      <c r="L48" s="1"/>
      <c r="M48" s="4">
        <f t="shared" si="2"/>
        <v>129051.84210526316</v>
      </c>
      <c r="N48" s="2">
        <v>1299</v>
      </c>
    </row>
    <row r="49" spans="1:14" x14ac:dyDescent="0.4">
      <c r="A49" s="1">
        <v>100048</v>
      </c>
      <c r="B49" s="1"/>
      <c r="C49" s="1"/>
      <c r="D49" s="1"/>
      <c r="E49" s="1"/>
      <c r="F49" s="1"/>
      <c r="I49" s="5">
        <f t="shared" si="1"/>
        <v>107522.89473684211</v>
      </c>
      <c r="J49" s="1"/>
      <c r="K49" s="1" t="s">
        <v>25</v>
      </c>
      <c r="L49" s="1"/>
      <c r="M49" s="4">
        <f t="shared" si="2"/>
        <v>107522.89473684211</v>
      </c>
      <c r="N49" s="2">
        <v>1029</v>
      </c>
    </row>
    <row r="50" spans="1:14" x14ac:dyDescent="0.4">
      <c r="A50" s="1">
        <v>100049</v>
      </c>
      <c r="B50" s="1"/>
      <c r="C50" s="1"/>
      <c r="D50" s="1"/>
      <c r="E50" s="1"/>
      <c r="F50" s="1"/>
      <c r="I50" s="5">
        <f t="shared" si="1"/>
        <v>97157.105263157893</v>
      </c>
      <c r="J50" s="1"/>
      <c r="K50" s="1" t="s">
        <v>25</v>
      </c>
      <c r="L50" s="1"/>
      <c r="M50" s="4">
        <f t="shared" si="2"/>
        <v>97157.105263157893</v>
      </c>
      <c r="N50" s="2">
        <v>899</v>
      </c>
    </row>
    <row r="51" spans="1:14" x14ac:dyDescent="0.4">
      <c r="A51" s="1">
        <v>100050</v>
      </c>
      <c r="B51" s="1"/>
      <c r="C51" s="1"/>
      <c r="D51" s="1"/>
      <c r="E51" s="1"/>
      <c r="F51" s="1"/>
      <c r="I51" s="5">
        <f t="shared" si="1"/>
        <v>96359.736842105267</v>
      </c>
      <c r="J51" s="1"/>
      <c r="K51" s="1" t="s">
        <v>25</v>
      </c>
      <c r="L51" s="1"/>
      <c r="M51" s="4">
        <f t="shared" si="2"/>
        <v>96359.736842105267</v>
      </c>
      <c r="N51" s="2">
        <v>889</v>
      </c>
    </row>
    <row r="52" spans="1:14" x14ac:dyDescent="0.4">
      <c r="A52" s="1">
        <v>100051</v>
      </c>
      <c r="B52" s="1"/>
      <c r="C52" s="1"/>
      <c r="D52" s="1"/>
      <c r="E52" s="1"/>
      <c r="F52" s="1"/>
      <c r="I52" s="5">
        <f t="shared" si="1"/>
        <v>84399.210526315786</v>
      </c>
      <c r="J52" s="1"/>
      <c r="K52" s="1" t="s">
        <v>25</v>
      </c>
      <c r="L52" s="1"/>
      <c r="M52" s="4">
        <f t="shared" si="2"/>
        <v>84399.210526315786</v>
      </c>
      <c r="N52" s="2">
        <v>739</v>
      </c>
    </row>
    <row r="53" spans="1:14" x14ac:dyDescent="0.4">
      <c r="A53" s="1">
        <v>100052</v>
      </c>
      <c r="B53" s="1"/>
      <c r="C53" s="1"/>
      <c r="D53" s="1"/>
      <c r="E53" s="1"/>
      <c r="F53" s="1"/>
      <c r="I53" s="5">
        <f t="shared" si="1"/>
        <v>75628.15789473684</v>
      </c>
      <c r="J53" s="1"/>
      <c r="K53" s="1" t="s">
        <v>25</v>
      </c>
      <c r="L53" s="1"/>
      <c r="M53" s="4">
        <f t="shared" si="2"/>
        <v>75628.15789473684</v>
      </c>
      <c r="N53" s="2">
        <v>629</v>
      </c>
    </row>
    <row r="54" spans="1:14" x14ac:dyDescent="0.4">
      <c r="A54" s="1">
        <v>100053</v>
      </c>
      <c r="B54" s="1"/>
      <c r="C54" s="1"/>
      <c r="D54" s="1"/>
      <c r="E54" s="1"/>
      <c r="F54" s="1"/>
      <c r="I54" s="5">
        <f t="shared" si="1"/>
        <v>74830.789473684214</v>
      </c>
      <c r="J54" s="1"/>
      <c r="K54" s="1" t="s">
        <v>25</v>
      </c>
      <c r="L54" s="1"/>
      <c r="M54" s="4">
        <f t="shared" si="2"/>
        <v>74830.789473684214</v>
      </c>
      <c r="N54" s="2">
        <v>619</v>
      </c>
    </row>
    <row r="55" spans="1:14" x14ac:dyDescent="0.4">
      <c r="A55" s="1">
        <v>100054</v>
      </c>
      <c r="B55" s="1"/>
      <c r="C55" s="1"/>
      <c r="D55" s="1"/>
      <c r="E55" s="1"/>
      <c r="F55" s="1"/>
      <c r="I55" s="5">
        <f t="shared" si="1"/>
        <v>74830.789473684214</v>
      </c>
      <c r="J55" s="1"/>
      <c r="K55" s="1" t="s">
        <v>25</v>
      </c>
      <c r="L55" s="1"/>
      <c r="M55" s="4">
        <f t="shared" si="2"/>
        <v>74830.789473684214</v>
      </c>
      <c r="N55" s="2">
        <v>619</v>
      </c>
    </row>
    <row r="56" spans="1:14" x14ac:dyDescent="0.4">
      <c r="A56" s="1">
        <v>100055</v>
      </c>
      <c r="B56" s="1"/>
      <c r="C56" s="1"/>
      <c r="D56" s="1"/>
      <c r="E56" s="1"/>
      <c r="F56" s="1"/>
      <c r="I56" s="5">
        <f t="shared" si="1"/>
        <v>74830.789473684214</v>
      </c>
      <c r="J56" s="1"/>
      <c r="K56" s="1" t="s">
        <v>25</v>
      </c>
      <c r="L56" s="1"/>
      <c r="M56" s="4">
        <f t="shared" si="2"/>
        <v>74830.789473684214</v>
      </c>
      <c r="N56" s="2">
        <v>619</v>
      </c>
    </row>
    <row r="57" spans="1:14" x14ac:dyDescent="0.4">
      <c r="A57" s="1">
        <v>100056</v>
      </c>
      <c r="B57" s="1"/>
      <c r="C57" s="1"/>
      <c r="D57" s="1"/>
      <c r="E57" s="1"/>
      <c r="F57" s="1"/>
      <c r="I57" s="5">
        <f t="shared" si="1"/>
        <v>74033.421052631587</v>
      </c>
      <c r="J57" s="1"/>
      <c r="K57" s="1" t="s">
        <v>25</v>
      </c>
      <c r="L57" s="1"/>
      <c r="M57" s="4">
        <f t="shared" si="2"/>
        <v>74033.421052631587</v>
      </c>
      <c r="N57" s="2">
        <v>609</v>
      </c>
    </row>
    <row r="58" spans="1:14" x14ac:dyDescent="0.4">
      <c r="A58" s="1">
        <v>100057</v>
      </c>
      <c r="B58" s="1"/>
      <c r="C58" s="1"/>
      <c r="D58" s="1"/>
      <c r="E58" s="1"/>
      <c r="F58" s="1"/>
      <c r="I58" s="5">
        <f t="shared" si="1"/>
        <v>74830.789473684214</v>
      </c>
      <c r="J58" s="1"/>
      <c r="K58" s="1" t="s">
        <v>25</v>
      </c>
      <c r="L58" s="1"/>
      <c r="M58" s="4">
        <f t="shared" si="2"/>
        <v>74830.789473684214</v>
      </c>
      <c r="N58" s="2">
        <v>619</v>
      </c>
    </row>
    <row r="59" spans="1:14" x14ac:dyDescent="0.4">
      <c r="A59" s="1">
        <v>100058</v>
      </c>
      <c r="B59" s="1"/>
      <c r="C59" s="1"/>
      <c r="D59" s="1"/>
      <c r="E59" s="1"/>
      <c r="F59" s="1"/>
      <c r="I59" s="5">
        <f t="shared" si="1"/>
        <v>77222.894736842107</v>
      </c>
      <c r="J59" s="1"/>
      <c r="K59" s="1" t="s">
        <v>25</v>
      </c>
      <c r="L59" s="1"/>
      <c r="M59" s="4">
        <f t="shared" si="2"/>
        <v>77222.894736842107</v>
      </c>
      <c r="N59" s="2">
        <v>649</v>
      </c>
    </row>
    <row r="60" spans="1:14" x14ac:dyDescent="0.4">
      <c r="A60" s="1">
        <v>100059</v>
      </c>
      <c r="B60" s="1"/>
      <c r="C60" s="1"/>
      <c r="D60" s="1"/>
      <c r="E60" s="1"/>
      <c r="F60" s="1"/>
      <c r="I60" s="5">
        <f t="shared" si="1"/>
        <v>77222.894736842107</v>
      </c>
      <c r="J60" s="1"/>
      <c r="K60" s="1" t="s">
        <v>25</v>
      </c>
      <c r="L60" s="1"/>
      <c r="M60" s="4">
        <f t="shared" si="2"/>
        <v>77222.894736842107</v>
      </c>
      <c r="N60" s="2">
        <v>649</v>
      </c>
    </row>
    <row r="61" spans="1:14" x14ac:dyDescent="0.4">
      <c r="A61" s="1">
        <v>100060</v>
      </c>
      <c r="B61" s="1"/>
      <c r="C61" s="1"/>
      <c r="D61" s="1"/>
      <c r="E61" s="1"/>
      <c r="F61" s="1"/>
      <c r="I61" s="5">
        <f t="shared" si="1"/>
        <v>81209.736842105267</v>
      </c>
      <c r="J61" s="1"/>
      <c r="K61" s="1" t="s">
        <v>25</v>
      </c>
      <c r="L61" s="1"/>
      <c r="M61" s="4">
        <f t="shared" si="2"/>
        <v>81209.736842105267</v>
      </c>
      <c r="N61" s="2">
        <v>699</v>
      </c>
    </row>
    <row r="62" spans="1:14" ht="72.900000000000006" x14ac:dyDescent="0.4">
      <c r="A62" s="1">
        <v>100061</v>
      </c>
      <c r="B62" s="1"/>
      <c r="C62" s="1" t="s">
        <v>64</v>
      </c>
      <c r="D62" s="1" t="s">
        <v>57</v>
      </c>
      <c r="E62" s="1" t="s">
        <v>62</v>
      </c>
      <c r="F62" s="1" t="s">
        <v>63</v>
      </c>
      <c r="G62" s="1">
        <v>5</v>
      </c>
      <c r="H62" s="1">
        <v>35.5</v>
      </c>
      <c r="I62" s="5">
        <f t="shared" si="1"/>
        <v>47640.526315789473</v>
      </c>
      <c r="J62" s="1"/>
      <c r="K62" s="1" t="s">
        <v>25</v>
      </c>
      <c r="L62" s="8" t="s">
        <v>66</v>
      </c>
      <c r="M62" s="4">
        <f t="shared" si="2"/>
        <v>47640.526315789473</v>
      </c>
      <c r="N62" s="2">
        <v>278</v>
      </c>
    </row>
    <row r="63" spans="1:14" x14ac:dyDescent="0.4">
      <c r="A63" s="1">
        <v>100062</v>
      </c>
      <c r="B63" s="1"/>
      <c r="C63" s="1"/>
      <c r="D63" s="1"/>
      <c r="E63" s="1"/>
      <c r="F63" s="1"/>
      <c r="G63" s="1">
        <v>5.5</v>
      </c>
      <c r="H63" s="1">
        <v>36</v>
      </c>
      <c r="I63" s="5">
        <f t="shared" si="1"/>
        <v>44849.736842105267</v>
      </c>
      <c r="J63" s="1"/>
      <c r="K63" s="1" t="s">
        <v>25</v>
      </c>
      <c r="L63" s="1"/>
      <c r="M63" s="4">
        <f t="shared" si="2"/>
        <v>44849.736842105267</v>
      </c>
      <c r="N63" s="2">
        <v>243</v>
      </c>
    </row>
    <row r="64" spans="1:14" x14ac:dyDescent="0.4">
      <c r="A64" s="1">
        <v>100063</v>
      </c>
      <c r="B64" s="1"/>
      <c r="C64" s="1"/>
      <c r="D64" s="1"/>
      <c r="E64" s="1"/>
      <c r="F64" s="1"/>
      <c r="G64" s="1">
        <v>6</v>
      </c>
      <c r="H64" s="1">
        <v>36.5</v>
      </c>
      <c r="I64" s="5">
        <f t="shared" si="1"/>
        <v>47321.57894736842</v>
      </c>
      <c r="J64" s="1"/>
      <c r="K64" s="1" t="s">
        <v>25</v>
      </c>
      <c r="L64" s="1"/>
      <c r="M64" s="4">
        <f t="shared" si="2"/>
        <v>47321.57894736842</v>
      </c>
      <c r="N64" s="2">
        <v>274</v>
      </c>
    </row>
    <row r="65" spans="1:14" x14ac:dyDescent="0.4">
      <c r="A65" s="1">
        <v>100064</v>
      </c>
      <c r="B65" s="1"/>
      <c r="C65" s="1"/>
      <c r="D65" s="1"/>
      <c r="E65" s="1"/>
      <c r="F65" s="1"/>
      <c r="G65" s="1">
        <v>6.5</v>
      </c>
      <c r="H65" s="1">
        <v>37.5</v>
      </c>
      <c r="I65" s="5">
        <f t="shared" si="1"/>
        <v>47082.368421052633</v>
      </c>
      <c r="J65" s="1"/>
      <c r="K65" s="1" t="s">
        <v>25</v>
      </c>
      <c r="L65" s="1"/>
      <c r="M65" s="4">
        <f t="shared" si="2"/>
        <v>47082.368421052633</v>
      </c>
      <c r="N65" s="2">
        <v>271</v>
      </c>
    </row>
    <row r="66" spans="1:14" x14ac:dyDescent="0.4">
      <c r="A66" s="1">
        <v>100065</v>
      </c>
      <c r="B66" s="1"/>
      <c r="C66" s="1"/>
      <c r="D66" s="1"/>
      <c r="E66" s="1"/>
      <c r="F66" s="1"/>
      <c r="G66" s="1">
        <v>7</v>
      </c>
      <c r="H66" s="1">
        <v>38</v>
      </c>
      <c r="I66" s="5">
        <f t="shared" si="1"/>
        <v>53222.1052631579</v>
      </c>
      <c r="J66" s="1"/>
      <c r="K66" s="1" t="s">
        <v>25</v>
      </c>
      <c r="L66" s="1"/>
      <c r="M66" s="4">
        <f t="shared" si="2"/>
        <v>53222.1052631579</v>
      </c>
      <c r="N66" s="2">
        <v>348</v>
      </c>
    </row>
    <row r="67" spans="1:14" x14ac:dyDescent="0.4">
      <c r="A67" s="1">
        <v>100066</v>
      </c>
      <c r="B67" s="1"/>
      <c r="C67" s="1"/>
      <c r="D67" s="1"/>
      <c r="E67" s="1"/>
      <c r="F67" s="1"/>
      <c r="G67" s="1">
        <v>7.5</v>
      </c>
      <c r="H67" s="1">
        <v>38.5</v>
      </c>
      <c r="I67" s="5">
        <f t="shared" ref="I67:I130" si="3">M67</f>
        <v>62870.26315789474</v>
      </c>
      <c r="J67" s="1"/>
      <c r="K67" s="1" t="s">
        <v>25</v>
      </c>
      <c r="L67" s="1"/>
      <c r="M67" s="4">
        <f t="shared" si="2"/>
        <v>62870.26315789474</v>
      </c>
      <c r="N67" s="2">
        <v>469</v>
      </c>
    </row>
    <row r="68" spans="1:14" x14ac:dyDescent="0.4">
      <c r="A68" s="1">
        <v>100067</v>
      </c>
      <c r="B68" s="1"/>
      <c r="C68" s="1"/>
      <c r="D68" s="1"/>
      <c r="E68" s="1"/>
      <c r="F68" s="1"/>
      <c r="G68" s="1">
        <v>8</v>
      </c>
      <c r="H68" s="1">
        <v>39</v>
      </c>
      <c r="I68" s="5">
        <f t="shared" si="3"/>
        <v>73236.052631578947</v>
      </c>
      <c r="J68" s="1"/>
      <c r="K68" s="1" t="s">
        <v>25</v>
      </c>
      <c r="L68" s="1"/>
      <c r="M68" s="4">
        <f t="shared" si="2"/>
        <v>73236.052631578947</v>
      </c>
      <c r="N68" s="2">
        <v>599</v>
      </c>
    </row>
    <row r="69" spans="1:14" x14ac:dyDescent="0.4">
      <c r="A69" s="1">
        <v>100068</v>
      </c>
      <c r="B69" s="1"/>
      <c r="C69" s="1"/>
      <c r="D69" s="1"/>
      <c r="E69" s="1"/>
      <c r="F69" s="1"/>
      <c r="G69" s="1">
        <v>8.5</v>
      </c>
      <c r="H69" s="1">
        <v>40</v>
      </c>
      <c r="I69" s="5">
        <f t="shared" si="3"/>
        <v>83601.84210526316</v>
      </c>
      <c r="J69" s="1"/>
      <c r="K69" s="1" t="s">
        <v>32</v>
      </c>
      <c r="L69" s="1"/>
      <c r="M69" s="4">
        <f t="shared" si="2"/>
        <v>83601.84210526316</v>
      </c>
      <c r="N69" s="2">
        <v>729</v>
      </c>
    </row>
    <row r="70" spans="1:14" x14ac:dyDescent="0.4">
      <c r="A70" s="1">
        <v>100069</v>
      </c>
      <c r="B70" s="1"/>
      <c r="C70" s="1"/>
      <c r="D70" s="1"/>
      <c r="E70" s="1"/>
      <c r="F70" s="1"/>
      <c r="G70" s="1">
        <v>9</v>
      </c>
      <c r="H70" s="1">
        <v>40.5</v>
      </c>
      <c r="I70" s="5">
        <f t="shared" si="3"/>
        <v>94924.473684210534</v>
      </c>
      <c r="J70" s="1"/>
      <c r="K70" s="1" t="s">
        <v>32</v>
      </c>
      <c r="L70" s="1"/>
      <c r="M70" s="4">
        <f t="shared" si="2"/>
        <v>94924.473684210534</v>
      </c>
      <c r="N70" s="2">
        <v>871</v>
      </c>
    </row>
    <row r="71" spans="1:14" x14ac:dyDescent="0.4">
      <c r="A71" s="1">
        <v>100070</v>
      </c>
      <c r="B71" s="1"/>
      <c r="C71" s="1"/>
      <c r="D71" s="1"/>
      <c r="E71" s="1" t="s">
        <v>43</v>
      </c>
      <c r="F71" s="1" t="s">
        <v>65</v>
      </c>
      <c r="G71" s="1">
        <v>5</v>
      </c>
      <c r="H71" s="1">
        <v>35.5</v>
      </c>
      <c r="I71" s="5">
        <f t="shared" si="3"/>
        <v>83601.84210526316</v>
      </c>
      <c r="J71" s="1"/>
      <c r="K71" s="1" t="s">
        <v>32</v>
      </c>
      <c r="L71" t="s">
        <v>66</v>
      </c>
      <c r="M71" s="4">
        <f t="shared" si="2"/>
        <v>83601.84210526316</v>
      </c>
      <c r="N71" s="2">
        <v>729</v>
      </c>
    </row>
    <row r="72" spans="1:14" x14ac:dyDescent="0.4">
      <c r="A72" s="1">
        <v>100071</v>
      </c>
      <c r="B72" s="1"/>
      <c r="C72" s="1"/>
      <c r="D72" s="1"/>
      <c r="E72" s="1"/>
      <c r="F72" s="1"/>
      <c r="G72" s="1">
        <v>5.5</v>
      </c>
      <c r="H72" s="1">
        <v>36</v>
      </c>
      <c r="I72" s="5">
        <f t="shared" si="3"/>
        <v>72438.68421052632</v>
      </c>
      <c r="J72" s="1"/>
      <c r="K72" s="1" t="s">
        <v>32</v>
      </c>
      <c r="L72" s="1"/>
      <c r="M72" s="4">
        <f t="shared" si="2"/>
        <v>72438.68421052632</v>
      </c>
      <c r="N72" s="2">
        <v>589</v>
      </c>
    </row>
    <row r="73" spans="1:14" x14ac:dyDescent="0.4">
      <c r="A73" s="1">
        <v>100072</v>
      </c>
      <c r="B73" s="1"/>
      <c r="C73" s="1"/>
      <c r="D73" s="1"/>
      <c r="E73" s="1"/>
      <c r="F73" s="1"/>
      <c r="G73" s="1">
        <v>6</v>
      </c>
      <c r="H73" s="1">
        <v>36.5</v>
      </c>
      <c r="I73" s="5">
        <f t="shared" si="3"/>
        <v>65342.1052631579</v>
      </c>
      <c r="J73" s="1"/>
      <c r="K73" s="1" t="s">
        <v>32</v>
      </c>
      <c r="L73" s="1"/>
      <c r="M73" s="4">
        <f t="shared" ref="M73:M79" si="4">(N73*75+N73*75*0.01+15000+4200+5000)/0.95</f>
        <v>65342.1052631579</v>
      </c>
      <c r="N73" s="2">
        <v>500</v>
      </c>
    </row>
    <row r="74" spans="1:14" x14ac:dyDescent="0.4">
      <c r="A74" s="1">
        <v>100073</v>
      </c>
      <c r="B74" s="1"/>
      <c r="C74" s="1"/>
      <c r="D74" s="1"/>
      <c r="E74" s="1"/>
      <c r="F74" s="1"/>
      <c r="G74" s="1">
        <v>6.5</v>
      </c>
      <c r="H74" s="1">
        <v>37.5</v>
      </c>
      <c r="I74" s="5">
        <f t="shared" si="3"/>
        <v>67096.315789473694</v>
      </c>
      <c r="J74" s="1"/>
      <c r="K74" s="1" t="s">
        <v>32</v>
      </c>
      <c r="L74" s="1"/>
      <c r="M74" s="4">
        <f t="shared" si="4"/>
        <v>67096.315789473694</v>
      </c>
      <c r="N74" s="2">
        <v>522</v>
      </c>
    </row>
    <row r="75" spans="1:14" x14ac:dyDescent="0.4">
      <c r="A75" s="1">
        <v>100074</v>
      </c>
      <c r="B75" s="1"/>
      <c r="C75" s="1"/>
      <c r="D75" s="1"/>
      <c r="E75" s="1"/>
      <c r="F75" s="1"/>
      <c r="G75" s="1">
        <v>7</v>
      </c>
      <c r="H75" s="1">
        <v>38</v>
      </c>
      <c r="I75" s="5">
        <f t="shared" si="3"/>
        <v>65342.1052631579</v>
      </c>
      <c r="J75" s="1"/>
      <c r="K75" s="1" t="s">
        <v>32</v>
      </c>
      <c r="L75" s="1"/>
      <c r="M75" s="4">
        <f t="shared" si="4"/>
        <v>65342.1052631579</v>
      </c>
      <c r="N75" s="2">
        <v>500</v>
      </c>
    </row>
    <row r="76" spans="1:14" x14ac:dyDescent="0.4">
      <c r="A76" s="1">
        <v>100075</v>
      </c>
      <c r="B76" s="1"/>
      <c r="C76" s="1"/>
      <c r="D76" s="1"/>
      <c r="E76" s="1"/>
      <c r="F76" s="1"/>
      <c r="G76" s="1">
        <v>7.5</v>
      </c>
      <c r="H76" s="1">
        <v>38.5</v>
      </c>
      <c r="I76" s="5">
        <f t="shared" si="3"/>
        <v>83681.578947368427</v>
      </c>
      <c r="J76" s="1"/>
      <c r="K76" s="1" t="s">
        <v>32</v>
      </c>
      <c r="L76" s="1"/>
      <c r="M76" s="4">
        <f t="shared" si="4"/>
        <v>83681.578947368427</v>
      </c>
      <c r="N76" s="2">
        <v>730</v>
      </c>
    </row>
    <row r="77" spans="1:14" x14ac:dyDescent="0.4">
      <c r="A77" s="1">
        <v>100076</v>
      </c>
      <c r="B77" s="1"/>
      <c r="C77" s="1"/>
      <c r="D77" s="1"/>
      <c r="E77" s="1"/>
      <c r="F77" s="1"/>
      <c r="G77" s="1">
        <v>8</v>
      </c>
      <c r="H77" s="1">
        <v>39</v>
      </c>
      <c r="I77" s="5">
        <f t="shared" si="3"/>
        <v>83681.578947368427</v>
      </c>
      <c r="J77" s="1"/>
      <c r="K77" s="1" t="s">
        <v>32</v>
      </c>
      <c r="L77" s="1"/>
      <c r="M77" s="4">
        <f t="shared" si="4"/>
        <v>83681.578947368427</v>
      </c>
      <c r="N77" s="2">
        <v>730</v>
      </c>
    </row>
    <row r="78" spans="1:14" x14ac:dyDescent="0.4">
      <c r="A78" s="1">
        <v>100077</v>
      </c>
      <c r="B78" s="1"/>
      <c r="C78" s="1"/>
      <c r="D78" s="1"/>
      <c r="E78" s="1"/>
      <c r="F78" s="1"/>
      <c r="G78" s="1">
        <v>8.5</v>
      </c>
      <c r="H78" s="1">
        <v>40</v>
      </c>
      <c r="I78" s="5">
        <f t="shared" si="3"/>
        <v>83681.578947368427</v>
      </c>
      <c r="J78" s="1"/>
      <c r="K78" s="1" t="s">
        <v>32</v>
      </c>
      <c r="L78" s="1"/>
      <c r="M78" s="4">
        <f t="shared" si="4"/>
        <v>83681.578947368427</v>
      </c>
      <c r="N78" s="2">
        <v>730</v>
      </c>
    </row>
    <row r="79" spans="1:14" x14ac:dyDescent="0.4">
      <c r="A79" s="1">
        <v>100078</v>
      </c>
      <c r="B79" s="1"/>
      <c r="C79" s="1"/>
      <c r="D79" s="1"/>
      <c r="E79" s="1"/>
      <c r="F79" s="1"/>
      <c r="G79" s="1">
        <v>9</v>
      </c>
      <c r="H79" s="1">
        <v>40.5</v>
      </c>
      <c r="I79" s="5">
        <f t="shared" si="3"/>
        <v>83681.578947368427</v>
      </c>
      <c r="J79" s="1"/>
      <c r="K79" s="1" t="s">
        <v>32</v>
      </c>
      <c r="L79" s="1"/>
      <c r="M79" s="4">
        <f t="shared" si="4"/>
        <v>83681.578947368427</v>
      </c>
      <c r="N79" s="2">
        <v>730</v>
      </c>
    </row>
    <row r="80" spans="1:14" ht="145.75" x14ac:dyDescent="0.4">
      <c r="A80" s="1">
        <v>100079</v>
      </c>
      <c r="B80" s="1"/>
      <c r="C80" s="1" t="s">
        <v>67</v>
      </c>
      <c r="D80" s="1" t="s">
        <v>38</v>
      </c>
      <c r="E80" s="1" t="s">
        <v>7</v>
      </c>
      <c r="F80" s="1" t="s">
        <v>68</v>
      </c>
      <c r="G80" s="1">
        <v>3.5</v>
      </c>
      <c r="H80" s="1">
        <v>35.5</v>
      </c>
      <c r="I80" s="5">
        <f t="shared" si="3"/>
        <v>64465</v>
      </c>
      <c r="J80" s="1"/>
      <c r="K80" s="1" t="s">
        <v>25</v>
      </c>
      <c r="L80" s="9" t="s">
        <v>69</v>
      </c>
      <c r="M80" s="4">
        <f t="shared" ref="M80:M94" si="5">(N80*75+N80*75*0.01+15000+4200+5000)/0.95</f>
        <v>64465</v>
      </c>
      <c r="N80" s="2">
        <v>489</v>
      </c>
    </row>
    <row r="81" spans="1:14" x14ac:dyDescent="0.4">
      <c r="A81" s="1">
        <v>100080</v>
      </c>
      <c r="B81" s="1"/>
      <c r="C81" s="1"/>
      <c r="D81" s="1"/>
      <c r="E81" s="1"/>
      <c r="F81" s="1"/>
      <c r="G81" s="1">
        <v>4</v>
      </c>
      <c r="H81" s="1">
        <v>36</v>
      </c>
      <c r="I81" s="5">
        <f t="shared" si="3"/>
        <v>68451.84210526316</v>
      </c>
      <c r="J81" s="1"/>
      <c r="K81" s="1" t="s">
        <v>25</v>
      </c>
      <c r="L81" s="1"/>
      <c r="M81" s="4">
        <f t="shared" si="5"/>
        <v>68451.84210526316</v>
      </c>
      <c r="N81" s="2">
        <v>539</v>
      </c>
    </row>
    <row r="82" spans="1:14" x14ac:dyDescent="0.4">
      <c r="A82" s="1">
        <v>100081</v>
      </c>
      <c r="B82" s="1"/>
      <c r="C82" s="1"/>
      <c r="D82" s="1"/>
      <c r="E82" s="1"/>
      <c r="F82" s="1"/>
      <c r="G82" s="1">
        <v>4.5</v>
      </c>
      <c r="H82" s="1">
        <v>36.5</v>
      </c>
      <c r="I82" s="5">
        <f t="shared" si="3"/>
        <v>70046.578947368427</v>
      </c>
      <c r="J82" s="1"/>
      <c r="K82" s="1" t="s">
        <v>25</v>
      </c>
      <c r="L82" s="1"/>
      <c r="M82" s="4">
        <f t="shared" si="5"/>
        <v>70046.578947368427</v>
      </c>
      <c r="N82" s="2">
        <v>559</v>
      </c>
    </row>
    <row r="83" spans="1:14" x14ac:dyDescent="0.4">
      <c r="A83" s="1">
        <v>100082</v>
      </c>
      <c r="B83" s="1"/>
      <c r="C83" s="1"/>
      <c r="D83" s="1"/>
      <c r="E83" s="1"/>
      <c r="F83" s="1"/>
      <c r="G83" s="1">
        <v>5</v>
      </c>
      <c r="H83" s="1">
        <v>37.5</v>
      </c>
      <c r="I83" s="5">
        <f t="shared" si="3"/>
        <v>74033.421052631587</v>
      </c>
      <c r="J83" s="1"/>
      <c r="K83" s="1" t="s">
        <v>25</v>
      </c>
      <c r="L83" s="1"/>
      <c r="M83" s="4">
        <f t="shared" si="5"/>
        <v>74033.421052631587</v>
      </c>
      <c r="N83" s="2">
        <v>609</v>
      </c>
    </row>
    <row r="84" spans="1:14" x14ac:dyDescent="0.4">
      <c r="A84" s="1">
        <v>100083</v>
      </c>
      <c r="B84" s="1"/>
      <c r="C84" s="1"/>
      <c r="D84" s="1"/>
      <c r="E84" s="1"/>
      <c r="F84" s="1"/>
      <c r="G84" s="1">
        <v>5.5</v>
      </c>
      <c r="H84" s="1">
        <v>38</v>
      </c>
      <c r="I84" s="5">
        <f t="shared" si="3"/>
        <v>66857.105263157893</v>
      </c>
      <c r="J84" s="1"/>
      <c r="K84" s="1" t="s">
        <v>25</v>
      </c>
      <c r="L84" s="1"/>
      <c r="M84" s="4">
        <f t="shared" si="5"/>
        <v>66857.105263157893</v>
      </c>
      <c r="N84" s="2">
        <v>519</v>
      </c>
    </row>
    <row r="85" spans="1:14" x14ac:dyDescent="0.4">
      <c r="A85" s="1">
        <v>100084</v>
      </c>
      <c r="B85" s="1"/>
      <c r="C85" s="1"/>
      <c r="D85" s="1"/>
      <c r="E85" s="1"/>
      <c r="F85" s="1"/>
      <c r="G85" s="1">
        <v>6</v>
      </c>
      <c r="H85" s="1">
        <v>38.5</v>
      </c>
      <c r="I85" s="5">
        <f t="shared" si="3"/>
        <v>62870.26315789474</v>
      </c>
      <c r="J85" s="1"/>
      <c r="K85" s="1" t="s">
        <v>25</v>
      </c>
      <c r="L85" s="1"/>
      <c r="M85" s="4">
        <f t="shared" si="5"/>
        <v>62870.26315789474</v>
      </c>
      <c r="N85" s="2">
        <v>469</v>
      </c>
    </row>
    <row r="86" spans="1:14" x14ac:dyDescent="0.4">
      <c r="A86" s="1">
        <v>100085</v>
      </c>
      <c r="B86" s="1"/>
      <c r="C86" s="1"/>
      <c r="D86" s="1"/>
      <c r="E86" s="1"/>
      <c r="F86" s="1"/>
      <c r="G86" s="1">
        <v>6.5</v>
      </c>
      <c r="H86" s="1">
        <v>39</v>
      </c>
      <c r="I86" s="5">
        <f t="shared" si="3"/>
        <v>66857.105263157893</v>
      </c>
      <c r="J86" s="1"/>
      <c r="K86" s="1" t="s">
        <v>25</v>
      </c>
      <c r="L86" s="1"/>
      <c r="M86" s="4">
        <f t="shared" si="5"/>
        <v>66857.105263157893</v>
      </c>
      <c r="N86" s="2">
        <v>519</v>
      </c>
    </row>
    <row r="87" spans="1:14" x14ac:dyDescent="0.4">
      <c r="A87" s="1">
        <v>100086</v>
      </c>
      <c r="B87" s="1"/>
      <c r="C87" s="1"/>
      <c r="D87" s="1"/>
      <c r="E87" s="1"/>
      <c r="F87" s="1"/>
      <c r="G87" s="1">
        <v>7</v>
      </c>
      <c r="H87" s="1">
        <v>40</v>
      </c>
      <c r="I87" s="5">
        <f t="shared" si="3"/>
        <v>67654.473684210534</v>
      </c>
      <c r="J87" s="1"/>
      <c r="K87" s="1" t="s">
        <v>25</v>
      </c>
      <c r="L87" s="1"/>
      <c r="M87" s="4">
        <f t="shared" si="5"/>
        <v>67654.473684210534</v>
      </c>
      <c r="N87" s="2">
        <v>529</v>
      </c>
    </row>
    <row r="88" spans="1:14" x14ac:dyDescent="0.4">
      <c r="A88" s="1">
        <v>100087</v>
      </c>
      <c r="B88" s="1"/>
      <c r="C88" s="1"/>
      <c r="D88" s="1"/>
      <c r="E88" s="1"/>
      <c r="F88" s="1"/>
      <c r="G88" s="1">
        <v>7.5</v>
      </c>
      <c r="H88" s="1">
        <v>40.5</v>
      </c>
      <c r="I88" s="5">
        <f t="shared" si="3"/>
        <v>66059.736842105267</v>
      </c>
      <c r="J88" s="1"/>
      <c r="K88" s="1" t="s">
        <v>25</v>
      </c>
      <c r="L88" s="1"/>
      <c r="M88" s="4">
        <f t="shared" si="5"/>
        <v>66059.736842105267</v>
      </c>
      <c r="N88" s="2">
        <v>509</v>
      </c>
    </row>
    <row r="89" spans="1:14" x14ac:dyDescent="0.4">
      <c r="A89" s="1">
        <v>100088</v>
      </c>
      <c r="B89" s="1"/>
      <c r="C89" s="1"/>
      <c r="D89" s="1"/>
      <c r="E89" s="1"/>
      <c r="F89" s="1"/>
      <c r="G89" s="1">
        <v>8</v>
      </c>
      <c r="H89" s="1">
        <v>41</v>
      </c>
      <c r="I89" s="5">
        <f t="shared" si="3"/>
        <v>66059.736842105267</v>
      </c>
      <c r="J89" s="1"/>
      <c r="K89" s="1" t="s">
        <v>25</v>
      </c>
      <c r="L89" s="1"/>
      <c r="M89" s="4">
        <f t="shared" si="5"/>
        <v>66059.736842105267</v>
      </c>
      <c r="N89" s="2">
        <v>509</v>
      </c>
    </row>
    <row r="90" spans="1:14" x14ac:dyDescent="0.4">
      <c r="A90" s="1">
        <v>100089</v>
      </c>
      <c r="B90" s="1"/>
      <c r="C90" s="1"/>
      <c r="D90" s="1"/>
      <c r="E90" s="1"/>
      <c r="F90" s="1"/>
      <c r="G90" s="1">
        <v>8.5</v>
      </c>
      <c r="H90" s="1">
        <v>42</v>
      </c>
      <c r="I90" s="5">
        <f t="shared" si="3"/>
        <v>66857.105263157893</v>
      </c>
      <c r="J90" s="1"/>
      <c r="K90" s="1" t="s">
        <v>25</v>
      </c>
      <c r="L90" s="1"/>
      <c r="M90" s="4">
        <f t="shared" si="5"/>
        <v>66857.105263157893</v>
      </c>
      <c r="N90" s="2">
        <v>519</v>
      </c>
    </row>
    <row r="91" spans="1:14" x14ac:dyDescent="0.4">
      <c r="A91" s="1">
        <v>100090</v>
      </c>
      <c r="B91" s="1"/>
      <c r="C91" s="1"/>
      <c r="D91" s="1"/>
      <c r="E91" s="1"/>
      <c r="F91" s="1"/>
      <c r="G91" s="1">
        <v>9</v>
      </c>
      <c r="H91" s="1">
        <v>42.5</v>
      </c>
      <c r="I91" s="5">
        <f t="shared" si="3"/>
        <v>68451.84210526316</v>
      </c>
      <c r="J91" s="1"/>
      <c r="K91" s="1" t="s">
        <v>25</v>
      </c>
      <c r="L91" s="1"/>
      <c r="M91" s="4">
        <f t="shared" si="5"/>
        <v>68451.84210526316</v>
      </c>
      <c r="N91" s="2">
        <v>539</v>
      </c>
    </row>
    <row r="92" spans="1:14" x14ac:dyDescent="0.4">
      <c r="A92" s="1">
        <v>100091</v>
      </c>
      <c r="B92" s="1"/>
      <c r="C92" s="1"/>
      <c r="D92" s="1"/>
      <c r="E92" s="1"/>
      <c r="F92" s="1"/>
      <c r="G92" s="1">
        <v>9.5</v>
      </c>
      <c r="H92" s="1">
        <v>43</v>
      </c>
      <c r="I92" s="5">
        <f t="shared" si="3"/>
        <v>67654.473684210534</v>
      </c>
      <c r="J92" s="1"/>
      <c r="K92" s="1" t="s">
        <v>25</v>
      </c>
      <c r="L92" s="1"/>
      <c r="M92" s="4">
        <f t="shared" si="5"/>
        <v>67654.473684210534</v>
      </c>
      <c r="N92" s="2">
        <v>529</v>
      </c>
    </row>
    <row r="93" spans="1:14" x14ac:dyDescent="0.4">
      <c r="A93" s="1">
        <v>100092</v>
      </c>
      <c r="B93" s="1"/>
      <c r="C93" s="1"/>
      <c r="D93" s="1"/>
      <c r="E93" s="1"/>
      <c r="F93" s="1"/>
      <c r="G93" s="1">
        <v>10</v>
      </c>
      <c r="H93" s="1">
        <v>44</v>
      </c>
      <c r="I93" s="5">
        <f t="shared" si="3"/>
        <v>68451.84210526316</v>
      </c>
      <c r="J93" s="1"/>
      <c r="K93" s="1" t="s">
        <v>25</v>
      </c>
      <c r="L93" s="1"/>
      <c r="M93" s="4">
        <f t="shared" si="5"/>
        <v>68451.84210526316</v>
      </c>
      <c r="N93" s="2">
        <v>539</v>
      </c>
    </row>
    <row r="94" spans="1:14" x14ac:dyDescent="0.4">
      <c r="A94" s="1">
        <v>100093</v>
      </c>
      <c r="B94" s="1"/>
      <c r="C94" s="1"/>
      <c r="D94" s="1"/>
      <c r="E94" s="1"/>
      <c r="F94" s="1"/>
      <c r="G94" s="1">
        <v>10.5</v>
      </c>
      <c r="H94" s="1">
        <v>44.5</v>
      </c>
      <c r="I94" s="5">
        <f t="shared" si="3"/>
        <v>74830.789473684214</v>
      </c>
      <c r="J94" s="1"/>
      <c r="K94" s="1" t="s">
        <v>25</v>
      </c>
      <c r="L94" s="1"/>
      <c r="M94" s="4">
        <f t="shared" si="5"/>
        <v>74830.789473684214</v>
      </c>
      <c r="N94" s="2">
        <v>619</v>
      </c>
    </row>
    <row r="95" spans="1:14" ht="145.75" x14ac:dyDescent="0.4">
      <c r="A95" s="1">
        <v>100094</v>
      </c>
      <c r="B95" s="1"/>
      <c r="C95" s="1"/>
      <c r="D95" s="1"/>
      <c r="E95" s="1" t="s">
        <v>70</v>
      </c>
      <c r="F95" s="1" t="s">
        <v>71</v>
      </c>
      <c r="G95" s="1">
        <v>3.5</v>
      </c>
      <c r="H95" s="1">
        <v>35.5</v>
      </c>
      <c r="I95" s="5">
        <f t="shared" si="3"/>
        <v>66059.736842105267</v>
      </c>
      <c r="J95" s="1"/>
      <c r="K95" s="1" t="s">
        <v>25</v>
      </c>
      <c r="L95" s="9" t="s">
        <v>69</v>
      </c>
      <c r="M95" s="4">
        <f t="shared" ref="M95:M158" si="6">(N95*75+N95*75*0.01+15000+4200+5000)/0.95</f>
        <v>66059.736842105267</v>
      </c>
      <c r="N95" s="2">
        <v>509</v>
      </c>
    </row>
    <row r="96" spans="1:14" x14ac:dyDescent="0.4">
      <c r="A96" s="1">
        <v>100095</v>
      </c>
      <c r="B96" s="1"/>
      <c r="C96" s="1"/>
      <c r="D96" s="1"/>
      <c r="E96" s="1"/>
      <c r="F96" s="1"/>
      <c r="G96" s="1">
        <v>4</v>
      </c>
      <c r="H96" s="1">
        <v>36</v>
      </c>
      <c r="I96" s="5">
        <f t="shared" si="3"/>
        <v>65262.368421052633</v>
      </c>
      <c r="J96" s="1"/>
      <c r="K96" s="1" t="s">
        <v>25</v>
      </c>
      <c r="L96" s="1"/>
      <c r="M96" s="4">
        <f t="shared" si="6"/>
        <v>65262.368421052633</v>
      </c>
      <c r="N96" s="2">
        <v>499</v>
      </c>
    </row>
    <row r="97" spans="1:14" x14ac:dyDescent="0.4">
      <c r="A97" s="1">
        <v>100096</v>
      </c>
      <c r="B97" s="1"/>
      <c r="C97" s="1"/>
      <c r="D97" s="1"/>
      <c r="E97" s="1"/>
      <c r="F97" s="1"/>
      <c r="G97" s="1">
        <v>4.5</v>
      </c>
      <c r="H97" s="1">
        <v>36.5</v>
      </c>
      <c r="I97" s="5">
        <f t="shared" si="3"/>
        <v>66059.736842105267</v>
      </c>
      <c r="J97" s="1"/>
      <c r="K97" s="1" t="s">
        <v>25</v>
      </c>
      <c r="L97" s="1"/>
      <c r="M97" s="4">
        <f t="shared" si="6"/>
        <v>66059.736842105267</v>
      </c>
      <c r="N97" s="2">
        <v>509</v>
      </c>
    </row>
    <row r="98" spans="1:14" x14ac:dyDescent="0.4">
      <c r="A98" s="1">
        <v>100097</v>
      </c>
      <c r="B98" s="1"/>
      <c r="C98" s="1"/>
      <c r="D98" s="1"/>
      <c r="E98" s="1"/>
      <c r="F98" s="1"/>
      <c r="G98" s="1">
        <v>5</v>
      </c>
      <c r="H98" s="1">
        <v>37.5</v>
      </c>
      <c r="I98" s="5">
        <f t="shared" si="3"/>
        <v>69249.210526315786</v>
      </c>
      <c r="J98" s="1"/>
      <c r="K98" s="1" t="s">
        <v>25</v>
      </c>
      <c r="L98" s="1"/>
      <c r="M98" s="4">
        <f t="shared" si="6"/>
        <v>69249.210526315786</v>
      </c>
      <c r="N98" s="2">
        <v>549</v>
      </c>
    </row>
    <row r="99" spans="1:14" x14ac:dyDescent="0.4">
      <c r="A99" s="1">
        <v>100098</v>
      </c>
      <c r="B99" s="1"/>
      <c r="C99" s="1"/>
      <c r="D99" s="1"/>
      <c r="E99" s="1"/>
      <c r="F99" s="1"/>
      <c r="G99" s="1">
        <v>5.5</v>
      </c>
      <c r="H99" s="1">
        <v>38</v>
      </c>
      <c r="I99" s="5">
        <f t="shared" si="3"/>
        <v>78817.631578947374</v>
      </c>
      <c r="J99" s="1"/>
      <c r="K99" s="1" t="s">
        <v>25</v>
      </c>
      <c r="L99" s="1"/>
      <c r="M99" s="4">
        <f t="shared" si="6"/>
        <v>78817.631578947374</v>
      </c>
      <c r="N99" s="2">
        <v>669</v>
      </c>
    </row>
    <row r="100" spans="1:14" x14ac:dyDescent="0.4">
      <c r="A100" s="1">
        <v>100099</v>
      </c>
      <c r="B100" s="1"/>
      <c r="C100" s="1"/>
      <c r="D100" s="1"/>
      <c r="E100" s="1"/>
      <c r="F100" s="1"/>
      <c r="G100" s="1">
        <v>6</v>
      </c>
      <c r="H100" s="1">
        <v>38.5</v>
      </c>
      <c r="I100" s="5">
        <f t="shared" si="3"/>
        <v>80412.368421052641</v>
      </c>
      <c r="J100" s="1"/>
      <c r="K100" s="1" t="s">
        <v>25</v>
      </c>
      <c r="L100" s="1"/>
      <c r="M100" s="4">
        <f t="shared" si="6"/>
        <v>80412.368421052641</v>
      </c>
      <c r="N100" s="2">
        <v>689</v>
      </c>
    </row>
    <row r="101" spans="1:14" x14ac:dyDescent="0.4">
      <c r="A101" s="1">
        <v>100100</v>
      </c>
      <c r="B101" s="1"/>
      <c r="C101" s="1"/>
      <c r="D101" s="1"/>
      <c r="E101" s="1"/>
      <c r="F101" s="1"/>
      <c r="G101" s="1">
        <v>6.5</v>
      </c>
      <c r="H101" s="1">
        <v>39</v>
      </c>
      <c r="I101" s="5">
        <f t="shared" si="3"/>
        <v>82804.473684210534</v>
      </c>
      <c r="J101" s="1"/>
      <c r="K101" s="1" t="s">
        <v>25</v>
      </c>
      <c r="L101" s="1"/>
      <c r="M101" s="4">
        <f t="shared" si="6"/>
        <v>82804.473684210534</v>
      </c>
      <c r="N101" s="2">
        <v>719</v>
      </c>
    </row>
    <row r="102" spans="1:14" x14ac:dyDescent="0.4">
      <c r="A102" s="1">
        <v>100101</v>
      </c>
      <c r="B102" s="1"/>
      <c r="C102" s="1"/>
      <c r="D102" s="1"/>
      <c r="E102" s="1"/>
      <c r="F102" s="1"/>
      <c r="G102" s="1">
        <v>7</v>
      </c>
      <c r="H102" s="1">
        <v>40</v>
      </c>
      <c r="I102" s="5">
        <f t="shared" si="3"/>
        <v>70843.947368421053</v>
      </c>
      <c r="J102" s="1"/>
      <c r="K102" s="1" t="s">
        <v>25</v>
      </c>
      <c r="L102" s="1"/>
      <c r="M102" s="4">
        <f t="shared" si="6"/>
        <v>70843.947368421053</v>
      </c>
      <c r="N102" s="2">
        <v>569</v>
      </c>
    </row>
    <row r="103" spans="1:14" x14ac:dyDescent="0.4">
      <c r="A103" s="1">
        <v>100102</v>
      </c>
      <c r="B103" s="1"/>
      <c r="C103" s="1"/>
      <c r="D103" s="1"/>
      <c r="E103" s="1"/>
      <c r="F103" s="1"/>
      <c r="G103" s="1">
        <v>7.5</v>
      </c>
      <c r="H103" s="1">
        <v>40.5</v>
      </c>
      <c r="I103" s="5">
        <f t="shared" si="3"/>
        <v>71641.315789473694</v>
      </c>
      <c r="J103" s="1"/>
      <c r="K103" s="1" t="s">
        <v>25</v>
      </c>
      <c r="L103" s="1"/>
      <c r="M103" s="4">
        <f t="shared" si="6"/>
        <v>71641.315789473694</v>
      </c>
      <c r="N103" s="2">
        <v>579</v>
      </c>
    </row>
    <row r="104" spans="1:14" x14ac:dyDescent="0.4">
      <c r="A104" s="1">
        <v>100103</v>
      </c>
      <c r="B104" s="1"/>
      <c r="C104" s="1"/>
      <c r="D104" s="1"/>
      <c r="E104" s="1"/>
      <c r="F104" s="1"/>
      <c r="G104" s="1">
        <v>8</v>
      </c>
      <c r="H104" s="1">
        <v>41</v>
      </c>
      <c r="I104" s="5">
        <f t="shared" si="3"/>
        <v>68451.84210526316</v>
      </c>
      <c r="J104" s="1"/>
      <c r="K104" s="1" t="s">
        <v>25</v>
      </c>
      <c r="L104" s="1"/>
      <c r="M104" s="4">
        <f t="shared" si="6"/>
        <v>68451.84210526316</v>
      </c>
      <c r="N104" s="2">
        <v>539</v>
      </c>
    </row>
    <row r="105" spans="1:14" x14ac:dyDescent="0.4">
      <c r="A105" s="1">
        <v>100104</v>
      </c>
      <c r="B105" s="1"/>
      <c r="C105" s="1"/>
      <c r="D105" s="1"/>
      <c r="E105" s="1"/>
      <c r="F105" s="1"/>
      <c r="G105" s="1">
        <v>8.5</v>
      </c>
      <c r="H105" s="1">
        <v>42</v>
      </c>
      <c r="I105" s="5">
        <f t="shared" si="3"/>
        <v>65262.368421052633</v>
      </c>
      <c r="J105" s="1"/>
      <c r="K105" s="1" t="s">
        <v>25</v>
      </c>
      <c r="L105" s="1"/>
      <c r="M105" s="4">
        <f t="shared" si="6"/>
        <v>65262.368421052633</v>
      </c>
      <c r="N105" s="2">
        <v>499</v>
      </c>
    </row>
    <row r="106" spans="1:14" x14ac:dyDescent="0.4">
      <c r="A106" s="1">
        <v>100105</v>
      </c>
      <c r="B106" s="1"/>
      <c r="C106" s="1"/>
      <c r="D106" s="1"/>
      <c r="E106" s="1"/>
      <c r="F106" s="1"/>
      <c r="G106" s="1">
        <v>9</v>
      </c>
      <c r="H106" s="1">
        <v>42.5</v>
      </c>
      <c r="I106" s="5">
        <f t="shared" si="3"/>
        <v>68451.84210526316</v>
      </c>
      <c r="J106" s="1"/>
      <c r="K106" s="1" t="s">
        <v>25</v>
      </c>
      <c r="L106" s="1"/>
      <c r="M106" s="4">
        <f t="shared" si="6"/>
        <v>68451.84210526316</v>
      </c>
      <c r="N106" s="2">
        <v>539</v>
      </c>
    </row>
    <row r="107" spans="1:14" x14ac:dyDescent="0.4">
      <c r="A107" s="1">
        <v>100106</v>
      </c>
      <c r="B107" s="1"/>
      <c r="C107" s="1"/>
      <c r="D107" s="1"/>
      <c r="E107" s="1"/>
      <c r="F107" s="1"/>
      <c r="G107" s="1">
        <v>9.5</v>
      </c>
      <c r="H107" s="1">
        <v>43</v>
      </c>
      <c r="I107" s="5">
        <f t="shared" si="3"/>
        <v>71641.315789473694</v>
      </c>
      <c r="J107" s="1"/>
      <c r="K107" s="1" t="s">
        <v>25</v>
      </c>
      <c r="L107" s="1"/>
      <c r="M107" s="4">
        <f t="shared" si="6"/>
        <v>71641.315789473694</v>
      </c>
      <c r="N107" s="2">
        <v>579</v>
      </c>
    </row>
    <row r="108" spans="1:14" x14ac:dyDescent="0.4">
      <c r="A108" s="1">
        <v>100107</v>
      </c>
      <c r="B108" s="1"/>
      <c r="C108" s="1"/>
      <c r="D108" s="1"/>
      <c r="E108" s="1"/>
      <c r="F108" s="1"/>
      <c r="G108" s="1">
        <v>10</v>
      </c>
      <c r="H108" s="1">
        <v>44</v>
      </c>
      <c r="I108" s="5">
        <f t="shared" si="3"/>
        <v>73236.052631578947</v>
      </c>
      <c r="J108" s="1"/>
      <c r="K108" s="1" t="s">
        <v>25</v>
      </c>
      <c r="L108" s="1"/>
      <c r="M108" s="4">
        <f t="shared" si="6"/>
        <v>73236.052631578947</v>
      </c>
      <c r="N108" s="2">
        <v>599</v>
      </c>
    </row>
    <row r="109" spans="1:14" x14ac:dyDescent="0.4">
      <c r="A109" s="1">
        <v>100108</v>
      </c>
      <c r="B109" s="1"/>
      <c r="C109" s="1"/>
      <c r="D109" s="1"/>
      <c r="E109" s="1"/>
      <c r="F109" s="1"/>
      <c r="G109" s="1">
        <v>10.5</v>
      </c>
      <c r="H109" s="1">
        <v>44.5</v>
      </c>
      <c r="I109" s="5">
        <f t="shared" si="3"/>
        <v>82007.105263157893</v>
      </c>
      <c r="J109" s="1"/>
      <c r="K109" s="1" t="s">
        <v>25</v>
      </c>
      <c r="L109" s="1"/>
      <c r="M109" s="4">
        <f t="shared" si="6"/>
        <v>82007.105263157893</v>
      </c>
      <c r="N109" s="2">
        <v>709</v>
      </c>
    </row>
    <row r="110" spans="1:14" ht="189.45" x14ac:dyDescent="0.4">
      <c r="A110" s="1">
        <v>100109</v>
      </c>
      <c r="B110" s="1"/>
      <c r="C110" s="1" t="s">
        <v>75</v>
      </c>
      <c r="D110" s="1" t="s">
        <v>38</v>
      </c>
      <c r="E110" s="1" t="s">
        <v>43</v>
      </c>
      <c r="F110" s="1" t="s">
        <v>72</v>
      </c>
      <c r="G110" s="1">
        <v>3.5</v>
      </c>
      <c r="H110" s="1">
        <v>35.5</v>
      </c>
      <c r="I110" s="5">
        <f t="shared" si="3"/>
        <v>99549.210526315801</v>
      </c>
      <c r="J110" s="1"/>
      <c r="K110" s="1" t="s">
        <v>25</v>
      </c>
      <c r="L110" s="9" t="s">
        <v>73</v>
      </c>
      <c r="M110" s="4">
        <f t="shared" si="6"/>
        <v>99549.210526315801</v>
      </c>
      <c r="N110" s="2">
        <v>929</v>
      </c>
    </row>
    <row r="111" spans="1:14" x14ac:dyDescent="0.4">
      <c r="A111" s="1">
        <v>100110</v>
      </c>
      <c r="B111" s="1"/>
      <c r="C111" s="1"/>
      <c r="D111" s="1"/>
      <c r="E111" s="1"/>
      <c r="F111" s="1"/>
      <c r="G111" s="1">
        <v>4</v>
      </c>
      <c r="H111" s="1">
        <v>36</v>
      </c>
      <c r="I111" s="5">
        <f t="shared" si="3"/>
        <v>98751.84210526316</v>
      </c>
      <c r="J111" s="1"/>
      <c r="K111" s="1" t="s">
        <v>25</v>
      </c>
      <c r="L111" s="1"/>
      <c r="M111" s="4">
        <f t="shared" si="6"/>
        <v>98751.84210526316</v>
      </c>
      <c r="N111" s="2">
        <v>919</v>
      </c>
    </row>
    <row r="112" spans="1:14" x14ac:dyDescent="0.4">
      <c r="A112" s="1">
        <v>100111</v>
      </c>
      <c r="B112" s="1"/>
      <c r="C112" s="1"/>
      <c r="D112" s="1"/>
      <c r="E112" s="1"/>
      <c r="F112" s="1"/>
      <c r="G112" s="1">
        <v>4.5</v>
      </c>
      <c r="H112" s="1">
        <v>36.5</v>
      </c>
      <c r="I112" s="5">
        <f t="shared" si="3"/>
        <v>98751.84210526316</v>
      </c>
      <c r="J112" s="1"/>
      <c r="K112" s="1" t="s">
        <v>25</v>
      </c>
      <c r="L112" s="1"/>
      <c r="M112" s="4">
        <f t="shared" si="6"/>
        <v>98751.84210526316</v>
      </c>
      <c r="N112" s="2">
        <v>919</v>
      </c>
    </row>
    <row r="113" spans="1:14" x14ac:dyDescent="0.4">
      <c r="A113" s="1">
        <v>100112</v>
      </c>
      <c r="B113" s="1"/>
      <c r="C113" s="1"/>
      <c r="D113" s="1"/>
      <c r="E113" s="1"/>
      <c r="F113" s="1"/>
      <c r="G113" s="1">
        <v>5</v>
      </c>
      <c r="H113" s="1">
        <v>37.5</v>
      </c>
      <c r="I113" s="5">
        <f t="shared" si="3"/>
        <v>98751.84210526316</v>
      </c>
      <c r="J113" s="1"/>
      <c r="K113" s="1" t="s">
        <v>25</v>
      </c>
      <c r="L113" s="1"/>
      <c r="M113" s="4">
        <f t="shared" si="6"/>
        <v>98751.84210526316</v>
      </c>
      <c r="N113" s="2">
        <v>919</v>
      </c>
    </row>
    <row r="114" spans="1:14" x14ac:dyDescent="0.4">
      <c r="A114" s="1">
        <v>100113</v>
      </c>
      <c r="B114" s="1"/>
      <c r="C114" s="1"/>
      <c r="D114" s="1"/>
      <c r="E114" s="1"/>
      <c r="F114" s="1"/>
      <c r="G114" s="1">
        <v>5.5</v>
      </c>
      <c r="H114" s="1">
        <v>38</v>
      </c>
      <c r="I114" s="5">
        <f t="shared" si="3"/>
        <v>98751.84210526316</v>
      </c>
      <c r="J114" s="1"/>
      <c r="K114" s="1" t="s">
        <v>25</v>
      </c>
      <c r="L114" s="1"/>
      <c r="M114" s="4">
        <f t="shared" si="6"/>
        <v>98751.84210526316</v>
      </c>
      <c r="N114" s="2">
        <v>919</v>
      </c>
    </row>
    <row r="115" spans="1:14" x14ac:dyDescent="0.4">
      <c r="A115" s="1">
        <v>100114</v>
      </c>
      <c r="B115" s="1"/>
      <c r="C115" s="1"/>
      <c r="D115" s="1"/>
      <c r="E115" s="1"/>
      <c r="F115" s="1"/>
      <c r="G115" s="1">
        <v>6</v>
      </c>
      <c r="H115" s="1">
        <v>38.5</v>
      </c>
      <c r="I115" s="5">
        <f t="shared" si="3"/>
        <v>97157.105263157893</v>
      </c>
      <c r="J115" s="1"/>
      <c r="K115" s="1" t="s">
        <v>25</v>
      </c>
      <c r="L115" s="1"/>
      <c r="M115" s="4">
        <f t="shared" si="6"/>
        <v>97157.105263157893</v>
      </c>
      <c r="N115" s="2">
        <v>899</v>
      </c>
    </row>
    <row r="116" spans="1:14" x14ac:dyDescent="0.4">
      <c r="A116" s="1">
        <v>100115</v>
      </c>
      <c r="B116" s="1"/>
      <c r="C116" s="1"/>
      <c r="D116" s="1"/>
      <c r="E116" s="1"/>
      <c r="F116" s="1"/>
      <c r="G116" s="1">
        <v>6.5</v>
      </c>
      <c r="H116" s="1">
        <v>39</v>
      </c>
      <c r="I116" s="5">
        <f t="shared" si="3"/>
        <v>86791.315789473694</v>
      </c>
      <c r="J116" s="1"/>
      <c r="K116" s="1" t="s">
        <v>25</v>
      </c>
      <c r="L116" s="1"/>
      <c r="M116" s="4">
        <f t="shared" si="6"/>
        <v>86791.315789473694</v>
      </c>
      <c r="N116" s="2">
        <v>769</v>
      </c>
    </row>
    <row r="117" spans="1:14" x14ac:dyDescent="0.4">
      <c r="A117" s="1">
        <v>100116</v>
      </c>
      <c r="B117" s="1"/>
      <c r="C117" s="1"/>
      <c r="D117" s="1"/>
      <c r="E117" s="1"/>
      <c r="F117" s="1"/>
      <c r="G117" s="1">
        <v>7</v>
      </c>
      <c r="H117" s="1">
        <v>40</v>
      </c>
      <c r="I117" s="5">
        <f t="shared" si="3"/>
        <v>79296.052631578947</v>
      </c>
      <c r="J117" s="1"/>
      <c r="K117" s="1" t="s">
        <v>25</v>
      </c>
      <c r="L117" s="1"/>
      <c r="M117" s="4">
        <f t="shared" si="6"/>
        <v>79296.052631578947</v>
      </c>
      <c r="N117" s="2">
        <v>675</v>
      </c>
    </row>
    <row r="118" spans="1:14" x14ac:dyDescent="0.4">
      <c r="A118" s="1">
        <v>100117</v>
      </c>
      <c r="B118" s="1"/>
      <c r="C118" s="1"/>
      <c r="D118" s="1"/>
      <c r="E118" s="1"/>
      <c r="F118" s="1"/>
      <c r="G118" s="1">
        <v>7.5</v>
      </c>
      <c r="H118" s="1">
        <v>40.5</v>
      </c>
      <c r="I118" s="5">
        <f t="shared" si="3"/>
        <v>81050.263157894748</v>
      </c>
      <c r="J118" s="1"/>
      <c r="K118" s="1" t="s">
        <v>25</v>
      </c>
      <c r="L118" s="1"/>
      <c r="M118" s="4">
        <f t="shared" si="6"/>
        <v>81050.263157894748</v>
      </c>
      <c r="N118" s="2">
        <v>697</v>
      </c>
    </row>
    <row r="119" spans="1:14" x14ac:dyDescent="0.4">
      <c r="A119" s="1">
        <v>100118</v>
      </c>
      <c r="B119" s="1"/>
      <c r="C119" s="1"/>
      <c r="D119" s="1"/>
      <c r="E119" s="1"/>
      <c r="F119" s="1"/>
      <c r="G119" s="1">
        <v>8</v>
      </c>
      <c r="H119" s="1">
        <v>41</v>
      </c>
      <c r="I119" s="5">
        <f t="shared" si="3"/>
        <v>80412.368421052641</v>
      </c>
      <c r="J119" s="1"/>
      <c r="K119" s="1" t="s">
        <v>25</v>
      </c>
      <c r="L119" s="1"/>
      <c r="M119" s="4">
        <f t="shared" si="6"/>
        <v>80412.368421052641</v>
      </c>
      <c r="N119" s="2">
        <v>689</v>
      </c>
    </row>
    <row r="120" spans="1:14" x14ac:dyDescent="0.4">
      <c r="A120" s="1">
        <v>100119</v>
      </c>
      <c r="B120" s="1"/>
      <c r="C120" s="1"/>
      <c r="D120" s="1"/>
      <c r="E120" s="1"/>
      <c r="F120" s="1"/>
      <c r="G120" s="1">
        <v>8.5</v>
      </c>
      <c r="H120" s="1">
        <v>42</v>
      </c>
      <c r="I120" s="5">
        <f t="shared" si="3"/>
        <v>82007.105263157893</v>
      </c>
      <c r="J120" s="1"/>
      <c r="K120" s="1" t="s">
        <v>25</v>
      </c>
      <c r="L120" s="1"/>
      <c r="M120" s="4">
        <f t="shared" si="6"/>
        <v>82007.105263157893</v>
      </c>
      <c r="N120" s="2">
        <v>709</v>
      </c>
    </row>
    <row r="121" spans="1:14" x14ac:dyDescent="0.4">
      <c r="A121" s="1">
        <v>100120</v>
      </c>
      <c r="B121" s="1"/>
      <c r="C121" s="1"/>
      <c r="D121" s="1"/>
      <c r="E121" s="1"/>
      <c r="F121" s="1"/>
      <c r="G121" s="1">
        <v>9</v>
      </c>
      <c r="H121" s="1">
        <v>42.5</v>
      </c>
      <c r="I121" s="5">
        <f t="shared" si="3"/>
        <v>90778.15789473684</v>
      </c>
      <c r="J121" s="1"/>
      <c r="K121" s="1" t="s">
        <v>25</v>
      </c>
      <c r="L121" s="1"/>
      <c r="M121" s="4">
        <f t="shared" si="6"/>
        <v>90778.15789473684</v>
      </c>
      <c r="N121" s="2">
        <v>819</v>
      </c>
    </row>
    <row r="122" spans="1:14" x14ac:dyDescent="0.4">
      <c r="A122" s="1">
        <v>100121</v>
      </c>
      <c r="B122" s="1"/>
      <c r="C122" s="1"/>
      <c r="D122" s="1"/>
      <c r="E122" s="1"/>
      <c r="F122" s="1"/>
      <c r="G122" s="1">
        <v>9.5</v>
      </c>
      <c r="H122" s="1">
        <v>43</v>
      </c>
      <c r="I122" s="5">
        <f t="shared" si="3"/>
        <v>86791.315789473694</v>
      </c>
      <c r="J122" s="1"/>
      <c r="K122" s="1" t="s">
        <v>25</v>
      </c>
      <c r="L122" s="1"/>
      <c r="M122" s="4">
        <f t="shared" si="6"/>
        <v>86791.315789473694</v>
      </c>
      <c r="N122" s="2">
        <v>769</v>
      </c>
    </row>
    <row r="123" spans="1:14" x14ac:dyDescent="0.4">
      <c r="A123" s="1">
        <v>100122</v>
      </c>
      <c r="B123" s="1"/>
      <c r="C123" s="1"/>
      <c r="D123" s="1"/>
      <c r="E123" s="1"/>
      <c r="F123" s="1"/>
      <c r="G123" s="1">
        <v>10</v>
      </c>
      <c r="H123" s="1">
        <v>44</v>
      </c>
      <c r="I123" s="5">
        <f t="shared" si="3"/>
        <v>83601.84210526316</v>
      </c>
      <c r="J123" s="1"/>
      <c r="K123" s="1" t="s">
        <v>25</v>
      </c>
      <c r="L123" s="1"/>
      <c r="M123" s="4">
        <f t="shared" si="6"/>
        <v>83601.84210526316</v>
      </c>
      <c r="N123" s="2">
        <v>729</v>
      </c>
    </row>
    <row r="124" spans="1:14" x14ac:dyDescent="0.4">
      <c r="A124" s="1">
        <v>100123</v>
      </c>
      <c r="B124" s="1"/>
      <c r="C124" s="1"/>
      <c r="D124" s="1"/>
      <c r="E124" s="1"/>
      <c r="F124" s="1"/>
      <c r="G124" s="1">
        <v>10.5</v>
      </c>
      <c r="H124" s="1">
        <v>44.5</v>
      </c>
      <c r="I124" s="5">
        <f t="shared" si="3"/>
        <v>84478.947368421053</v>
      </c>
      <c r="J124" s="1"/>
      <c r="K124" s="1" t="s">
        <v>25</v>
      </c>
      <c r="L124" s="1"/>
      <c r="M124" s="4">
        <f t="shared" si="6"/>
        <v>84478.947368421053</v>
      </c>
      <c r="N124" s="2">
        <v>740</v>
      </c>
    </row>
    <row r="125" spans="1:14" ht="189.45" x14ac:dyDescent="0.4">
      <c r="A125" s="1">
        <v>100124</v>
      </c>
      <c r="B125" s="1"/>
      <c r="C125" s="1"/>
      <c r="D125" s="1"/>
      <c r="E125" s="1" t="s">
        <v>7</v>
      </c>
      <c r="F125" s="1" t="s">
        <v>74</v>
      </c>
      <c r="G125" s="1">
        <v>3.5</v>
      </c>
      <c r="H125" s="1">
        <v>35.5</v>
      </c>
      <c r="I125" s="5">
        <f t="shared" si="3"/>
        <v>84478.947368421053</v>
      </c>
      <c r="J125" s="1"/>
      <c r="K125" s="1" t="s">
        <v>32</v>
      </c>
      <c r="L125" s="10" t="s">
        <v>73</v>
      </c>
      <c r="M125" s="4">
        <f t="shared" si="6"/>
        <v>84478.947368421053</v>
      </c>
      <c r="N125" s="2">
        <v>740</v>
      </c>
    </row>
    <row r="126" spans="1:14" x14ac:dyDescent="0.4">
      <c r="A126" s="1">
        <v>100125</v>
      </c>
      <c r="B126" s="1"/>
      <c r="C126" s="1"/>
      <c r="D126" s="1"/>
      <c r="E126" s="1"/>
      <c r="F126" s="1"/>
      <c r="G126" s="1">
        <v>4</v>
      </c>
      <c r="H126" s="1">
        <v>36</v>
      </c>
      <c r="I126" s="5">
        <f t="shared" si="3"/>
        <v>84478.947368421053</v>
      </c>
      <c r="J126" s="1"/>
      <c r="K126" s="1" t="s">
        <v>32</v>
      </c>
      <c r="L126" s="1"/>
      <c r="M126" s="4">
        <f t="shared" si="6"/>
        <v>84478.947368421053</v>
      </c>
      <c r="N126" s="2">
        <v>740</v>
      </c>
    </row>
    <row r="127" spans="1:14" x14ac:dyDescent="0.4">
      <c r="A127" s="1">
        <v>100126</v>
      </c>
      <c r="B127" s="1"/>
      <c r="C127" s="1"/>
      <c r="D127" s="1"/>
      <c r="E127" s="1"/>
      <c r="F127" s="1"/>
      <c r="G127" s="1">
        <v>4.5</v>
      </c>
      <c r="H127" s="1">
        <v>36.5</v>
      </c>
      <c r="I127" s="5">
        <f t="shared" si="3"/>
        <v>84478.947368421053</v>
      </c>
      <c r="J127" s="1"/>
      <c r="K127" s="1" t="s">
        <v>32</v>
      </c>
      <c r="L127" s="1"/>
      <c r="M127" s="4">
        <f t="shared" si="6"/>
        <v>84478.947368421053</v>
      </c>
      <c r="N127" s="2">
        <v>740</v>
      </c>
    </row>
    <row r="128" spans="1:14" x14ac:dyDescent="0.4">
      <c r="A128" s="1">
        <v>100127</v>
      </c>
      <c r="B128" s="1"/>
      <c r="C128" s="1"/>
      <c r="D128" s="1"/>
      <c r="E128" s="1"/>
      <c r="F128" s="1"/>
      <c r="G128" s="1">
        <v>5</v>
      </c>
      <c r="H128" s="1">
        <v>37.5</v>
      </c>
      <c r="I128" s="5">
        <f t="shared" si="3"/>
        <v>84478.947368421053</v>
      </c>
      <c r="J128" s="1"/>
      <c r="K128" s="1" t="s">
        <v>32</v>
      </c>
      <c r="L128" s="1"/>
      <c r="M128" s="4">
        <f t="shared" si="6"/>
        <v>84478.947368421053</v>
      </c>
      <c r="N128" s="2">
        <v>740</v>
      </c>
    </row>
    <row r="129" spans="1:14" x14ac:dyDescent="0.4">
      <c r="A129" s="1">
        <v>100128</v>
      </c>
      <c r="B129" s="1"/>
      <c r="C129" s="1"/>
      <c r="D129" s="1"/>
      <c r="E129" s="1"/>
      <c r="F129" s="1"/>
      <c r="G129" s="1">
        <v>5.5</v>
      </c>
      <c r="H129" s="1">
        <v>38</v>
      </c>
      <c r="I129" s="5">
        <f t="shared" si="3"/>
        <v>84478.947368421053</v>
      </c>
      <c r="J129" s="1"/>
      <c r="K129" s="1" t="s">
        <v>32</v>
      </c>
      <c r="L129" s="1"/>
      <c r="M129" s="4">
        <f t="shared" si="6"/>
        <v>84478.947368421053</v>
      </c>
      <c r="N129" s="2">
        <v>740</v>
      </c>
    </row>
    <row r="130" spans="1:14" x14ac:dyDescent="0.4">
      <c r="A130" s="1">
        <v>100129</v>
      </c>
      <c r="B130" s="1"/>
      <c r="C130" s="1"/>
      <c r="D130" s="1"/>
      <c r="E130" s="1"/>
      <c r="F130" s="1"/>
      <c r="G130" s="1">
        <v>6</v>
      </c>
      <c r="H130" s="1">
        <v>38.5</v>
      </c>
      <c r="I130" s="5">
        <f t="shared" si="3"/>
        <v>84478.947368421053</v>
      </c>
      <c r="J130" s="1"/>
      <c r="K130" s="1" t="s">
        <v>32</v>
      </c>
      <c r="L130" s="1"/>
      <c r="M130" s="4">
        <f t="shared" si="6"/>
        <v>84478.947368421053</v>
      </c>
      <c r="N130" s="2">
        <v>740</v>
      </c>
    </row>
    <row r="131" spans="1:14" x14ac:dyDescent="0.4">
      <c r="A131" s="1">
        <v>100130</v>
      </c>
      <c r="B131" s="1"/>
      <c r="C131" s="1"/>
      <c r="D131" s="1"/>
      <c r="E131" s="1"/>
      <c r="F131" s="1"/>
      <c r="G131" s="1">
        <v>6.5</v>
      </c>
      <c r="H131" s="1">
        <v>39</v>
      </c>
      <c r="I131" s="5">
        <f t="shared" ref="I131:I136" si="7">M131</f>
        <v>79615</v>
      </c>
      <c r="J131" s="1"/>
      <c r="K131" s="1" t="s">
        <v>25</v>
      </c>
      <c r="L131" s="1"/>
      <c r="M131" s="4">
        <f t="shared" si="6"/>
        <v>79615</v>
      </c>
      <c r="N131" s="2">
        <v>679</v>
      </c>
    </row>
    <row r="132" spans="1:14" x14ac:dyDescent="0.4">
      <c r="A132" s="1">
        <v>100131</v>
      </c>
      <c r="B132" s="1"/>
      <c r="C132" s="1"/>
      <c r="D132" s="1"/>
      <c r="E132" s="1"/>
      <c r="F132" s="1"/>
      <c r="G132" s="1">
        <v>7</v>
      </c>
      <c r="H132" s="1">
        <v>40</v>
      </c>
      <c r="I132" s="5">
        <f t="shared" si="7"/>
        <v>82804.473684210534</v>
      </c>
      <c r="J132" s="1"/>
      <c r="K132" s="1" t="s">
        <v>25</v>
      </c>
      <c r="L132" s="1"/>
      <c r="M132" s="4">
        <f t="shared" si="6"/>
        <v>82804.473684210534</v>
      </c>
      <c r="N132" s="2">
        <v>719</v>
      </c>
    </row>
    <row r="133" spans="1:14" x14ac:dyDescent="0.4">
      <c r="A133" s="1">
        <v>100132</v>
      </c>
      <c r="B133" s="1"/>
      <c r="C133" s="1"/>
      <c r="D133" s="1"/>
      <c r="E133" s="1"/>
      <c r="F133" s="1"/>
      <c r="G133" s="1">
        <v>7.5</v>
      </c>
      <c r="H133" s="1">
        <v>40.5</v>
      </c>
      <c r="I133" s="5">
        <f t="shared" si="7"/>
        <v>89183.421052631587</v>
      </c>
      <c r="J133" s="1"/>
      <c r="K133" s="1" t="s">
        <v>25</v>
      </c>
      <c r="L133" s="1"/>
      <c r="M133" s="4">
        <f t="shared" si="6"/>
        <v>89183.421052631587</v>
      </c>
      <c r="N133" s="2">
        <v>799</v>
      </c>
    </row>
    <row r="134" spans="1:14" x14ac:dyDescent="0.4">
      <c r="A134" s="1">
        <v>100133</v>
      </c>
      <c r="B134" s="1"/>
      <c r="C134" s="1"/>
      <c r="D134" s="1"/>
      <c r="E134" s="1"/>
      <c r="F134" s="1"/>
      <c r="G134" s="1">
        <v>8</v>
      </c>
      <c r="H134" s="1">
        <v>41</v>
      </c>
      <c r="I134" s="5">
        <f t="shared" si="7"/>
        <v>70843.947368421053</v>
      </c>
      <c r="J134" s="1"/>
      <c r="K134" s="1" t="s">
        <v>25</v>
      </c>
      <c r="L134" s="1"/>
      <c r="M134" s="4">
        <f t="shared" si="6"/>
        <v>70843.947368421053</v>
      </c>
      <c r="N134" s="2">
        <v>569</v>
      </c>
    </row>
    <row r="135" spans="1:14" x14ac:dyDescent="0.4">
      <c r="A135" s="1">
        <v>100134</v>
      </c>
      <c r="B135" s="1"/>
      <c r="C135" s="1"/>
      <c r="D135" s="1"/>
      <c r="E135" s="1"/>
      <c r="F135" s="1"/>
      <c r="G135" s="1">
        <v>8.5</v>
      </c>
      <c r="H135" s="1">
        <v>42</v>
      </c>
      <c r="I135" s="5">
        <f t="shared" si="7"/>
        <v>74033.421052631587</v>
      </c>
      <c r="J135" s="1"/>
      <c r="K135" s="1" t="s">
        <v>25</v>
      </c>
      <c r="L135" s="1"/>
      <c r="M135" s="4">
        <f t="shared" si="6"/>
        <v>74033.421052631587</v>
      </c>
      <c r="N135" s="2">
        <v>609</v>
      </c>
    </row>
    <row r="136" spans="1:14" x14ac:dyDescent="0.4">
      <c r="A136" s="1">
        <v>100135</v>
      </c>
      <c r="B136" s="1"/>
      <c r="C136" s="1"/>
      <c r="D136" s="1"/>
      <c r="E136" s="1"/>
      <c r="F136" s="1"/>
      <c r="G136" s="1">
        <v>9</v>
      </c>
      <c r="H136" s="1">
        <v>42.5</v>
      </c>
      <c r="I136" s="5">
        <f t="shared" si="7"/>
        <v>80412.368421052641</v>
      </c>
      <c r="J136" s="1"/>
      <c r="K136" s="1" t="s">
        <v>25</v>
      </c>
      <c r="L136" s="1"/>
      <c r="M136" s="4">
        <f t="shared" si="6"/>
        <v>80412.368421052641</v>
      </c>
      <c r="N136" s="2">
        <v>689</v>
      </c>
    </row>
    <row r="137" spans="1:14" x14ac:dyDescent="0.4">
      <c r="A137" s="1">
        <v>100136</v>
      </c>
      <c r="B137" s="1"/>
      <c r="C137" s="1"/>
      <c r="D137" s="1"/>
      <c r="E137" s="1"/>
      <c r="F137" s="1"/>
      <c r="G137" s="1">
        <v>9.5</v>
      </c>
      <c r="H137" s="1">
        <v>43</v>
      </c>
      <c r="I137" s="5">
        <f>M137</f>
        <v>84478.947368421053</v>
      </c>
      <c r="J137" s="1"/>
      <c r="K137" s="1" t="s">
        <v>32</v>
      </c>
      <c r="L137" s="1"/>
      <c r="M137" s="4">
        <f t="shared" si="6"/>
        <v>84478.947368421053</v>
      </c>
      <c r="N137" s="2">
        <v>740</v>
      </c>
    </row>
    <row r="138" spans="1:14" x14ac:dyDescent="0.4">
      <c r="A138" s="1">
        <v>100137</v>
      </c>
      <c r="B138" s="1"/>
      <c r="C138" s="1"/>
      <c r="D138" s="1"/>
      <c r="E138" s="1"/>
      <c r="F138" s="1"/>
      <c r="G138" s="1">
        <v>10</v>
      </c>
      <c r="H138" s="1">
        <v>44</v>
      </c>
      <c r="I138" s="5">
        <f t="shared" ref="I138:I201" si="8">M138</f>
        <v>84478.947368421053</v>
      </c>
      <c r="J138" s="1"/>
      <c r="K138" s="1" t="s">
        <v>32</v>
      </c>
      <c r="L138" s="1"/>
      <c r="M138" s="4">
        <f t="shared" si="6"/>
        <v>84478.947368421053</v>
      </c>
      <c r="N138" s="2">
        <v>740</v>
      </c>
    </row>
    <row r="139" spans="1:14" x14ac:dyDescent="0.4">
      <c r="A139" s="1">
        <v>100138</v>
      </c>
      <c r="B139" s="1"/>
      <c r="C139" s="1"/>
      <c r="D139" s="1"/>
      <c r="E139" s="1"/>
      <c r="F139" s="1"/>
      <c r="G139" s="1">
        <v>10.5</v>
      </c>
      <c r="H139" s="1">
        <v>44.5</v>
      </c>
      <c r="I139" s="5">
        <f t="shared" si="8"/>
        <v>84478.947368421053</v>
      </c>
      <c r="J139" s="1"/>
      <c r="K139" s="1" t="s">
        <v>32</v>
      </c>
      <c r="L139" s="1"/>
      <c r="M139" s="4">
        <f t="shared" si="6"/>
        <v>84478.947368421053</v>
      </c>
      <c r="N139" s="2">
        <v>740</v>
      </c>
    </row>
    <row r="140" spans="1:14" ht="189.45" x14ac:dyDescent="0.4">
      <c r="A140" s="1">
        <v>100139</v>
      </c>
      <c r="B140" s="1"/>
      <c r="C140" s="1"/>
      <c r="D140" s="1" t="s">
        <v>6</v>
      </c>
      <c r="E140" s="1" t="s">
        <v>13</v>
      </c>
      <c r="F140" s="1" t="s">
        <v>76</v>
      </c>
      <c r="G140" s="1">
        <v>3.5</v>
      </c>
      <c r="H140" s="1">
        <v>35.5</v>
      </c>
      <c r="I140" s="5">
        <f t="shared" si="8"/>
        <v>84478.947368421053</v>
      </c>
      <c r="J140" s="1"/>
      <c r="K140" s="1" t="s">
        <v>32</v>
      </c>
      <c r="L140" s="10" t="s">
        <v>73</v>
      </c>
      <c r="M140" s="4">
        <f t="shared" si="6"/>
        <v>84478.947368421053</v>
      </c>
      <c r="N140" s="2">
        <v>740</v>
      </c>
    </row>
    <row r="141" spans="1:14" x14ac:dyDescent="0.4">
      <c r="A141" s="1">
        <v>100140</v>
      </c>
      <c r="B141" s="1"/>
      <c r="C141" s="1"/>
      <c r="D141" s="1"/>
      <c r="E141" s="1"/>
      <c r="F141" s="1"/>
      <c r="G141" s="1">
        <v>4</v>
      </c>
      <c r="H141" s="1">
        <v>36</v>
      </c>
      <c r="I141" s="5">
        <f t="shared" si="8"/>
        <v>84478.947368421053</v>
      </c>
      <c r="J141" s="1"/>
      <c r="K141" s="1" t="s">
        <v>32</v>
      </c>
      <c r="L141" s="1"/>
      <c r="M141" s="4">
        <f t="shared" si="6"/>
        <v>84478.947368421053</v>
      </c>
      <c r="N141" s="2">
        <v>740</v>
      </c>
    </row>
    <row r="142" spans="1:14" x14ac:dyDescent="0.4">
      <c r="A142" s="1">
        <v>100141</v>
      </c>
      <c r="B142" s="1"/>
      <c r="C142" s="1"/>
      <c r="D142" s="1"/>
      <c r="E142" s="1"/>
      <c r="F142" s="1"/>
      <c r="G142" s="1">
        <v>4.5</v>
      </c>
      <c r="H142" s="1">
        <v>36.5</v>
      </c>
      <c r="I142" s="5">
        <f t="shared" si="8"/>
        <v>84478.947368421053</v>
      </c>
      <c r="J142" s="1"/>
      <c r="K142" s="1" t="s">
        <v>32</v>
      </c>
      <c r="L142" s="1"/>
      <c r="M142" s="4">
        <f t="shared" si="6"/>
        <v>84478.947368421053</v>
      </c>
      <c r="N142" s="2">
        <v>740</v>
      </c>
    </row>
    <row r="143" spans="1:14" x14ac:dyDescent="0.4">
      <c r="A143" s="1">
        <v>100142</v>
      </c>
      <c r="B143" s="1"/>
      <c r="C143" s="1"/>
      <c r="D143" s="1"/>
      <c r="E143" s="1"/>
      <c r="F143" s="1"/>
      <c r="G143" s="1">
        <v>5</v>
      </c>
      <c r="H143" s="1">
        <v>37.5</v>
      </c>
      <c r="I143" s="5">
        <f t="shared" si="8"/>
        <v>84478.947368421053</v>
      </c>
      <c r="J143" s="1"/>
      <c r="K143" s="1" t="s">
        <v>32</v>
      </c>
      <c r="L143" s="1"/>
      <c r="M143" s="4">
        <f t="shared" si="6"/>
        <v>84478.947368421053</v>
      </c>
      <c r="N143" s="2">
        <v>740</v>
      </c>
    </row>
    <row r="144" spans="1:14" x14ac:dyDescent="0.4">
      <c r="A144" s="1">
        <v>100143</v>
      </c>
      <c r="B144" s="1"/>
      <c r="C144" s="1"/>
      <c r="D144" s="1"/>
      <c r="E144" s="1"/>
      <c r="F144" s="1"/>
      <c r="G144" s="1">
        <v>5.5</v>
      </c>
      <c r="H144" s="1">
        <v>38</v>
      </c>
      <c r="I144" s="5">
        <f t="shared" si="8"/>
        <v>84478.947368421053</v>
      </c>
      <c r="J144" s="1"/>
      <c r="K144" s="1" t="s">
        <v>32</v>
      </c>
      <c r="L144" s="1"/>
      <c r="M144" s="4">
        <f t="shared" si="6"/>
        <v>84478.947368421053</v>
      </c>
      <c r="N144" s="2">
        <v>740</v>
      </c>
    </row>
    <row r="145" spans="1:14" x14ac:dyDescent="0.4">
      <c r="A145" s="1">
        <v>100144</v>
      </c>
      <c r="B145" s="1"/>
      <c r="C145" s="1"/>
      <c r="D145" s="1"/>
      <c r="E145" s="1"/>
      <c r="F145" s="1"/>
      <c r="G145" s="1">
        <v>6</v>
      </c>
      <c r="H145" s="1">
        <v>38.5</v>
      </c>
      <c r="I145" s="5">
        <f t="shared" si="8"/>
        <v>81209.736842105267</v>
      </c>
      <c r="J145" s="1"/>
      <c r="K145" s="1" t="s">
        <v>25</v>
      </c>
      <c r="L145" s="1"/>
      <c r="M145" s="4">
        <f t="shared" si="6"/>
        <v>81209.736842105267</v>
      </c>
      <c r="N145" s="2">
        <v>699</v>
      </c>
    </row>
    <row r="146" spans="1:14" x14ac:dyDescent="0.4">
      <c r="A146" s="1">
        <v>100145</v>
      </c>
      <c r="B146" s="1"/>
      <c r="C146" s="1"/>
      <c r="D146" s="1"/>
      <c r="E146" s="1"/>
      <c r="F146" s="1"/>
      <c r="G146" s="1">
        <v>6.5</v>
      </c>
      <c r="H146" s="1">
        <v>39</v>
      </c>
      <c r="I146" s="5">
        <f t="shared" si="8"/>
        <v>60478.157894736847</v>
      </c>
      <c r="J146" s="1"/>
      <c r="K146" s="1" t="s">
        <v>25</v>
      </c>
      <c r="L146" s="1"/>
      <c r="M146" s="4">
        <f t="shared" si="6"/>
        <v>60478.157894736847</v>
      </c>
      <c r="N146" s="2">
        <v>439</v>
      </c>
    </row>
    <row r="147" spans="1:14" x14ac:dyDescent="0.4">
      <c r="A147" s="1">
        <v>100146</v>
      </c>
      <c r="B147" s="1"/>
      <c r="C147" s="1"/>
      <c r="D147" s="1"/>
      <c r="E147" s="1"/>
      <c r="F147" s="1"/>
      <c r="G147" s="1">
        <v>7</v>
      </c>
      <c r="H147" s="1">
        <v>40</v>
      </c>
      <c r="I147" s="5">
        <f t="shared" si="8"/>
        <v>84478.947368421053</v>
      </c>
      <c r="J147" s="1"/>
      <c r="K147" s="1" t="s">
        <v>32</v>
      </c>
      <c r="L147" s="1"/>
      <c r="M147" s="4">
        <f t="shared" si="6"/>
        <v>84478.947368421053</v>
      </c>
      <c r="N147" s="2">
        <v>740</v>
      </c>
    </row>
    <row r="148" spans="1:14" x14ac:dyDescent="0.4">
      <c r="A148" s="1">
        <v>100147</v>
      </c>
      <c r="B148" s="1"/>
      <c r="C148" s="1"/>
      <c r="D148" s="1"/>
      <c r="E148" s="1"/>
      <c r="F148" s="1"/>
      <c r="G148" s="1">
        <v>7.5</v>
      </c>
      <c r="H148" s="1">
        <v>40.5</v>
      </c>
      <c r="I148" s="5">
        <f t="shared" si="8"/>
        <v>58086.052631578947</v>
      </c>
      <c r="J148" s="1"/>
      <c r="K148" s="1" t="s">
        <v>25</v>
      </c>
      <c r="L148" s="1"/>
      <c r="M148" s="4">
        <f t="shared" si="6"/>
        <v>58086.052631578947</v>
      </c>
      <c r="N148" s="2">
        <v>409</v>
      </c>
    </row>
    <row r="149" spans="1:14" x14ac:dyDescent="0.4">
      <c r="A149" s="1">
        <v>100148</v>
      </c>
      <c r="B149" s="1"/>
      <c r="C149" s="1"/>
      <c r="D149" s="1"/>
      <c r="E149" s="1"/>
      <c r="F149" s="1"/>
      <c r="G149" s="1">
        <v>8</v>
      </c>
      <c r="H149" s="1">
        <v>41</v>
      </c>
      <c r="I149" s="5">
        <f t="shared" si="8"/>
        <v>56491.315789473687</v>
      </c>
      <c r="J149" s="1"/>
      <c r="K149" s="1" t="s">
        <v>25</v>
      </c>
      <c r="L149" s="1"/>
      <c r="M149" s="4">
        <f t="shared" si="6"/>
        <v>56491.315789473687</v>
      </c>
      <c r="N149" s="2">
        <v>389</v>
      </c>
    </row>
    <row r="150" spans="1:14" x14ac:dyDescent="0.4">
      <c r="A150" s="1">
        <v>100149</v>
      </c>
      <c r="B150" s="1"/>
      <c r="C150" s="1"/>
      <c r="D150" s="1"/>
      <c r="E150" s="1"/>
      <c r="F150" s="1"/>
      <c r="G150" s="1">
        <v>8.5</v>
      </c>
      <c r="H150" s="1">
        <v>42</v>
      </c>
      <c r="I150" s="5">
        <f t="shared" si="8"/>
        <v>56491.315789473687</v>
      </c>
      <c r="J150" s="1"/>
      <c r="K150" s="1" t="s">
        <v>25</v>
      </c>
      <c r="L150" s="1"/>
      <c r="M150" s="4">
        <f t="shared" si="6"/>
        <v>56491.315789473687</v>
      </c>
      <c r="N150" s="2">
        <v>389</v>
      </c>
    </row>
    <row r="151" spans="1:14" x14ac:dyDescent="0.4">
      <c r="A151" s="1">
        <v>100150</v>
      </c>
      <c r="B151" s="1"/>
      <c r="C151" s="1"/>
      <c r="D151" s="1"/>
      <c r="E151" s="1"/>
      <c r="F151" s="1"/>
      <c r="G151" s="1">
        <v>9</v>
      </c>
      <c r="H151" s="1">
        <v>42.5</v>
      </c>
      <c r="I151" s="5">
        <f t="shared" si="8"/>
        <v>57288.68421052632</v>
      </c>
      <c r="J151" s="1"/>
      <c r="K151" s="1" t="s">
        <v>25</v>
      </c>
      <c r="L151" s="1"/>
      <c r="M151" s="4">
        <f t="shared" si="6"/>
        <v>57288.68421052632</v>
      </c>
      <c r="N151" s="2">
        <v>399</v>
      </c>
    </row>
    <row r="152" spans="1:14" x14ac:dyDescent="0.4">
      <c r="A152" s="1">
        <v>100151</v>
      </c>
      <c r="B152" s="1"/>
      <c r="C152" s="1"/>
      <c r="D152" s="1"/>
      <c r="E152" s="1"/>
      <c r="F152" s="1"/>
      <c r="G152" s="1">
        <v>9.5</v>
      </c>
      <c r="H152" s="1">
        <v>43</v>
      </c>
      <c r="I152" s="5">
        <f t="shared" si="8"/>
        <v>58086.052631578947</v>
      </c>
      <c r="J152" s="1"/>
      <c r="K152" s="1" t="s">
        <v>25</v>
      </c>
      <c r="L152" s="1"/>
      <c r="M152" s="4">
        <f t="shared" si="6"/>
        <v>58086.052631578947</v>
      </c>
      <c r="N152" s="2">
        <v>409</v>
      </c>
    </row>
    <row r="153" spans="1:14" x14ac:dyDescent="0.4">
      <c r="A153" s="1">
        <v>100152</v>
      </c>
      <c r="B153" s="1"/>
      <c r="C153" s="1"/>
      <c r="D153" s="1"/>
      <c r="E153" s="1"/>
      <c r="F153" s="1"/>
      <c r="G153" s="1">
        <v>10</v>
      </c>
      <c r="H153" s="1">
        <v>44</v>
      </c>
      <c r="I153" s="5">
        <f t="shared" si="8"/>
        <v>60478.157894736847</v>
      </c>
      <c r="J153" s="1"/>
      <c r="K153" s="1" t="s">
        <v>25</v>
      </c>
      <c r="L153" s="1"/>
      <c r="M153" s="4">
        <f t="shared" si="6"/>
        <v>60478.157894736847</v>
      </c>
      <c r="N153" s="2">
        <v>439</v>
      </c>
    </row>
    <row r="154" spans="1:14" x14ac:dyDescent="0.4">
      <c r="A154" s="1">
        <v>100153</v>
      </c>
      <c r="B154" s="1"/>
      <c r="C154" s="1"/>
      <c r="D154" s="1"/>
      <c r="E154" s="1"/>
      <c r="F154" s="1"/>
      <c r="G154" s="1">
        <v>10.5</v>
      </c>
      <c r="H154" s="1">
        <v>44.5</v>
      </c>
      <c r="I154" s="5">
        <f t="shared" si="8"/>
        <v>63587.894736842107</v>
      </c>
      <c r="J154" s="1"/>
      <c r="K154" s="1" t="s">
        <v>25</v>
      </c>
      <c r="L154" s="1"/>
      <c r="M154" s="4">
        <f t="shared" si="6"/>
        <v>63587.894736842107</v>
      </c>
      <c r="N154" s="2">
        <v>478</v>
      </c>
    </row>
    <row r="155" spans="1:14" ht="262.3" x14ac:dyDescent="0.4">
      <c r="A155" s="1">
        <v>100154</v>
      </c>
      <c r="B155" s="1"/>
      <c r="C155" s="1" t="s">
        <v>77</v>
      </c>
      <c r="D155" s="1" t="s">
        <v>6</v>
      </c>
      <c r="E155" s="1" t="s">
        <v>43</v>
      </c>
      <c r="F155" s="1" t="s">
        <v>78</v>
      </c>
      <c r="G155" s="1">
        <v>6</v>
      </c>
      <c r="H155" s="1">
        <v>38.5</v>
      </c>
      <c r="I155" s="5">
        <f t="shared" si="8"/>
        <v>89183.421052631587</v>
      </c>
      <c r="J155" s="1"/>
      <c r="K155" s="1" t="s">
        <v>25</v>
      </c>
      <c r="L155" s="9" t="s">
        <v>79</v>
      </c>
      <c r="M155" s="4">
        <f t="shared" si="6"/>
        <v>89183.421052631587</v>
      </c>
      <c r="N155" s="2">
        <v>799</v>
      </c>
    </row>
    <row r="156" spans="1:14" x14ac:dyDescent="0.4">
      <c r="A156" s="1">
        <v>100155</v>
      </c>
      <c r="B156" s="1"/>
      <c r="C156" s="1"/>
      <c r="D156" s="1"/>
      <c r="E156" s="1"/>
      <c r="F156" s="1"/>
      <c r="G156" s="1">
        <v>6.5</v>
      </c>
      <c r="H156" s="1">
        <v>39</v>
      </c>
      <c r="I156" s="5">
        <f t="shared" si="8"/>
        <v>97157.105263157893</v>
      </c>
      <c r="J156" s="1"/>
      <c r="K156" s="1" t="s">
        <v>25</v>
      </c>
      <c r="L156" s="1"/>
      <c r="M156" s="4">
        <f t="shared" si="6"/>
        <v>97157.105263157893</v>
      </c>
      <c r="N156" s="2">
        <v>899</v>
      </c>
    </row>
    <row r="157" spans="1:14" x14ac:dyDescent="0.4">
      <c r="A157" s="1">
        <v>100156</v>
      </c>
      <c r="B157" s="1"/>
      <c r="C157" s="1"/>
      <c r="D157" s="1"/>
      <c r="E157" s="1"/>
      <c r="F157" s="1"/>
      <c r="G157" s="1">
        <v>7</v>
      </c>
      <c r="H157" s="1">
        <v>40</v>
      </c>
      <c r="I157" s="5">
        <f t="shared" si="8"/>
        <v>74830.789473684214</v>
      </c>
      <c r="J157" s="1"/>
      <c r="K157" s="1" t="s">
        <v>25</v>
      </c>
      <c r="L157" s="1"/>
      <c r="M157" s="4">
        <f t="shared" si="6"/>
        <v>74830.789473684214</v>
      </c>
      <c r="N157" s="2">
        <v>619</v>
      </c>
    </row>
    <row r="158" spans="1:14" x14ac:dyDescent="0.4">
      <c r="A158" s="1">
        <v>100157</v>
      </c>
      <c r="B158" s="1"/>
      <c r="C158" s="1"/>
      <c r="D158" s="1"/>
      <c r="E158" s="1"/>
      <c r="F158" s="1"/>
      <c r="G158" s="1">
        <v>7.5</v>
      </c>
      <c r="H158" s="1">
        <v>40.5</v>
      </c>
      <c r="I158" s="5">
        <f t="shared" si="8"/>
        <v>74033.421052631587</v>
      </c>
      <c r="J158" s="1"/>
      <c r="K158" s="1" t="s">
        <v>25</v>
      </c>
      <c r="L158" s="1"/>
      <c r="M158" s="4">
        <f t="shared" si="6"/>
        <v>74033.421052631587</v>
      </c>
      <c r="N158" s="2">
        <v>609</v>
      </c>
    </row>
    <row r="159" spans="1:14" x14ac:dyDescent="0.4">
      <c r="A159" s="1">
        <v>100158</v>
      </c>
      <c r="B159" s="1"/>
      <c r="C159" s="1"/>
      <c r="D159" s="1"/>
      <c r="E159" s="1"/>
      <c r="F159" s="1"/>
      <c r="G159" s="1">
        <v>8</v>
      </c>
      <c r="H159" s="1">
        <v>41</v>
      </c>
      <c r="I159" s="5">
        <f t="shared" si="8"/>
        <v>74033.421052631587</v>
      </c>
      <c r="J159" s="1"/>
      <c r="K159" s="1" t="s">
        <v>25</v>
      </c>
      <c r="L159" s="1"/>
      <c r="M159" s="4">
        <f t="shared" ref="M159:M222" si="9">(N159*75+N159*75*0.01+15000+4200+5000)/0.95</f>
        <v>74033.421052631587</v>
      </c>
      <c r="N159" s="2">
        <v>609</v>
      </c>
    </row>
    <row r="160" spans="1:14" x14ac:dyDescent="0.4">
      <c r="A160" s="1">
        <v>100159</v>
      </c>
      <c r="B160" s="1"/>
      <c r="C160" s="1"/>
      <c r="D160" s="1"/>
      <c r="E160" s="1"/>
      <c r="F160" s="1"/>
      <c r="G160" s="1">
        <v>8.5</v>
      </c>
      <c r="H160" s="1">
        <v>42</v>
      </c>
      <c r="I160" s="5">
        <f t="shared" si="8"/>
        <v>90778.15789473684</v>
      </c>
      <c r="J160" s="1"/>
      <c r="K160" s="1" t="s">
        <v>25</v>
      </c>
      <c r="L160" s="1"/>
      <c r="M160" s="4">
        <f t="shared" si="9"/>
        <v>90778.15789473684</v>
      </c>
      <c r="N160" s="2">
        <v>819</v>
      </c>
    </row>
    <row r="161" spans="1:14" x14ac:dyDescent="0.4">
      <c r="A161" s="1">
        <v>100160</v>
      </c>
      <c r="B161" s="1"/>
      <c r="C161" s="1"/>
      <c r="D161" s="1"/>
      <c r="E161" s="1"/>
      <c r="F161" s="1"/>
      <c r="G161" s="1">
        <v>9</v>
      </c>
      <c r="H161" s="1">
        <v>42.5</v>
      </c>
      <c r="I161" s="5">
        <f t="shared" si="8"/>
        <v>94765</v>
      </c>
      <c r="J161" s="1"/>
      <c r="K161" s="1" t="s">
        <v>25</v>
      </c>
      <c r="L161" s="1"/>
      <c r="M161" s="4">
        <f t="shared" si="9"/>
        <v>94765</v>
      </c>
      <c r="N161" s="2">
        <v>869</v>
      </c>
    </row>
    <row r="162" spans="1:14" x14ac:dyDescent="0.4">
      <c r="A162" s="1">
        <v>100161</v>
      </c>
      <c r="B162" s="1"/>
      <c r="C162" s="1"/>
      <c r="D162" s="1"/>
      <c r="E162" s="1"/>
      <c r="F162" s="1"/>
      <c r="G162" s="1">
        <v>9.5</v>
      </c>
      <c r="H162" s="1">
        <v>43</v>
      </c>
      <c r="I162" s="5">
        <f t="shared" si="8"/>
        <v>63587.894736842107</v>
      </c>
      <c r="J162" s="1"/>
      <c r="K162" s="1" t="s">
        <v>32</v>
      </c>
      <c r="L162" s="1"/>
      <c r="M162" s="4">
        <f t="shared" si="9"/>
        <v>63587.894736842107</v>
      </c>
      <c r="N162" s="2">
        <v>478</v>
      </c>
    </row>
    <row r="163" spans="1:14" x14ac:dyDescent="0.4">
      <c r="A163" s="1">
        <v>100162</v>
      </c>
      <c r="B163" s="1"/>
      <c r="C163" s="1"/>
      <c r="D163" s="1"/>
      <c r="E163" s="1"/>
      <c r="F163" s="1"/>
      <c r="G163" s="1">
        <v>10</v>
      </c>
      <c r="H163" s="1">
        <v>44</v>
      </c>
      <c r="I163" s="5">
        <f t="shared" si="8"/>
        <v>63587.894736842107</v>
      </c>
      <c r="J163" s="1"/>
      <c r="K163" s="1" t="s">
        <v>32</v>
      </c>
      <c r="L163" s="1"/>
      <c r="M163" s="4">
        <f t="shared" si="9"/>
        <v>63587.894736842107</v>
      </c>
      <c r="N163" s="2">
        <v>478</v>
      </c>
    </row>
    <row r="164" spans="1:14" x14ac:dyDescent="0.4">
      <c r="A164" s="1">
        <v>100163</v>
      </c>
      <c r="B164" s="1"/>
      <c r="C164" s="1"/>
      <c r="D164" s="1"/>
      <c r="E164" s="1"/>
      <c r="F164" s="1"/>
      <c r="G164" s="1">
        <v>10.5</v>
      </c>
      <c r="H164" s="1">
        <v>44.5</v>
      </c>
      <c r="I164" s="5">
        <f t="shared" si="8"/>
        <v>63587.894736842107</v>
      </c>
      <c r="J164" s="1"/>
      <c r="K164" s="1" t="s">
        <v>32</v>
      </c>
      <c r="L164" s="1"/>
      <c r="M164" s="4">
        <f t="shared" si="9"/>
        <v>63587.894736842107</v>
      </c>
      <c r="N164" s="2">
        <v>478</v>
      </c>
    </row>
    <row r="165" spans="1:14" x14ac:dyDescent="0.4">
      <c r="A165" s="1">
        <v>100164</v>
      </c>
      <c r="B165" s="1"/>
      <c r="C165" s="1" t="s">
        <v>80</v>
      </c>
      <c r="D165" s="1" t="s">
        <v>6</v>
      </c>
      <c r="E165" s="1" t="s">
        <v>43</v>
      </c>
      <c r="F165" s="1" t="s">
        <v>81</v>
      </c>
      <c r="G165" s="1">
        <v>6.5</v>
      </c>
      <c r="H165" s="1">
        <v>39</v>
      </c>
      <c r="I165" s="5">
        <f t="shared" si="8"/>
        <v>63587.894736842107</v>
      </c>
      <c r="J165" s="1"/>
      <c r="K165" s="1" t="s">
        <v>32</v>
      </c>
      <c r="L165" s="1"/>
      <c r="M165" s="4">
        <f t="shared" si="9"/>
        <v>63587.894736842107</v>
      </c>
      <c r="N165" s="2">
        <v>478</v>
      </c>
    </row>
    <row r="166" spans="1:14" x14ac:dyDescent="0.4">
      <c r="A166" s="1">
        <v>100165</v>
      </c>
      <c r="B166" s="1"/>
      <c r="C166" s="1"/>
      <c r="D166" s="1"/>
      <c r="E166" s="1"/>
      <c r="F166" s="1"/>
      <c r="G166" s="1">
        <v>7</v>
      </c>
      <c r="H166" s="1">
        <v>40</v>
      </c>
      <c r="I166" s="5">
        <f t="shared" si="8"/>
        <v>63587.894736842107</v>
      </c>
      <c r="J166" s="1"/>
      <c r="K166" s="1" t="s">
        <v>32</v>
      </c>
      <c r="L166" s="1"/>
      <c r="M166" s="4">
        <f t="shared" si="9"/>
        <v>63587.894736842107</v>
      </c>
      <c r="N166" s="2">
        <v>478</v>
      </c>
    </row>
    <row r="167" spans="1:14" x14ac:dyDescent="0.4">
      <c r="A167" s="1">
        <v>100166</v>
      </c>
      <c r="B167" s="1"/>
      <c r="C167" s="1"/>
      <c r="D167" s="1"/>
      <c r="E167" s="1"/>
      <c r="F167" s="1"/>
      <c r="G167" s="1">
        <v>7.5</v>
      </c>
      <c r="H167" s="1">
        <v>40.5</v>
      </c>
      <c r="I167" s="5">
        <f t="shared" si="8"/>
        <v>63587.894736842107</v>
      </c>
      <c r="J167" s="1"/>
      <c r="K167" s="1" t="s">
        <v>32</v>
      </c>
      <c r="L167" s="1"/>
      <c r="M167" s="4">
        <f t="shared" si="9"/>
        <v>63587.894736842107</v>
      </c>
      <c r="N167" s="2">
        <v>478</v>
      </c>
    </row>
    <row r="168" spans="1:14" x14ac:dyDescent="0.4">
      <c r="A168" s="1">
        <v>100167</v>
      </c>
      <c r="B168" s="1"/>
      <c r="C168" s="1"/>
      <c r="D168" s="1"/>
      <c r="E168" s="1"/>
      <c r="F168" s="1"/>
      <c r="G168" s="1">
        <v>8</v>
      </c>
      <c r="H168" s="1">
        <v>41</v>
      </c>
      <c r="I168" s="5">
        <f t="shared" si="8"/>
        <v>63587.894736842107</v>
      </c>
      <c r="J168" s="1"/>
      <c r="K168" s="1" t="s">
        <v>32</v>
      </c>
      <c r="L168" s="1"/>
      <c r="M168" s="4">
        <f t="shared" si="9"/>
        <v>63587.894736842107</v>
      </c>
      <c r="N168" s="2">
        <v>478</v>
      </c>
    </row>
    <row r="169" spans="1:14" x14ac:dyDescent="0.4">
      <c r="A169" s="1">
        <v>100168</v>
      </c>
      <c r="B169" s="1"/>
      <c r="C169" s="1"/>
      <c r="D169" s="1"/>
      <c r="E169" s="1"/>
      <c r="F169" s="1"/>
      <c r="G169" s="1">
        <v>8.5</v>
      </c>
      <c r="H169" s="1">
        <v>42</v>
      </c>
      <c r="I169" s="5">
        <f t="shared" si="8"/>
        <v>63587.894736842107</v>
      </c>
      <c r="J169" s="1"/>
      <c r="K169" s="1" t="s">
        <v>32</v>
      </c>
      <c r="L169" s="1"/>
      <c r="M169" s="4">
        <f t="shared" si="9"/>
        <v>63587.894736842107</v>
      </c>
      <c r="N169" s="2">
        <v>478</v>
      </c>
    </row>
    <row r="170" spans="1:14" x14ac:dyDescent="0.4">
      <c r="A170" s="1">
        <v>100169</v>
      </c>
      <c r="B170" s="1"/>
      <c r="C170" s="1"/>
      <c r="D170" s="1"/>
      <c r="E170" s="1"/>
      <c r="F170" s="1"/>
      <c r="G170" s="1">
        <v>9</v>
      </c>
      <c r="H170" s="1">
        <v>42.5</v>
      </c>
      <c r="I170" s="5">
        <f t="shared" si="8"/>
        <v>63587.894736842107</v>
      </c>
      <c r="J170" s="1"/>
      <c r="K170" s="1" t="s">
        <v>32</v>
      </c>
      <c r="L170" s="1"/>
      <c r="M170" s="4">
        <f t="shared" si="9"/>
        <v>63587.894736842107</v>
      </c>
      <c r="N170" s="2">
        <v>478</v>
      </c>
    </row>
    <row r="171" spans="1:14" x14ac:dyDescent="0.4">
      <c r="A171" s="1">
        <v>100170</v>
      </c>
      <c r="B171" s="1"/>
      <c r="C171" s="1"/>
      <c r="D171" s="1"/>
      <c r="E171" s="1"/>
      <c r="F171" s="1"/>
      <c r="G171" s="1">
        <v>9.5</v>
      </c>
      <c r="H171" s="1">
        <v>43</v>
      </c>
      <c r="I171" s="5">
        <f t="shared" si="8"/>
        <v>63587.894736842107</v>
      </c>
      <c r="J171" s="1"/>
      <c r="K171" s="1" t="s">
        <v>32</v>
      </c>
      <c r="L171" s="1"/>
      <c r="M171" s="4">
        <f t="shared" si="9"/>
        <v>63587.894736842107</v>
      </c>
      <c r="N171" s="2">
        <v>478</v>
      </c>
    </row>
    <row r="172" spans="1:14" x14ac:dyDescent="0.4">
      <c r="A172" s="1">
        <v>100171</v>
      </c>
      <c r="B172" s="1"/>
      <c r="C172" s="1"/>
      <c r="D172" s="1"/>
      <c r="E172" s="1"/>
      <c r="F172" s="1"/>
      <c r="G172" s="1">
        <v>10</v>
      </c>
      <c r="H172" s="1">
        <v>44</v>
      </c>
      <c r="I172" s="5">
        <f t="shared" si="8"/>
        <v>63587.894736842107</v>
      </c>
      <c r="J172" s="1"/>
      <c r="K172" s="1" t="s">
        <v>32</v>
      </c>
      <c r="L172" s="1"/>
      <c r="M172" s="4">
        <f t="shared" si="9"/>
        <v>63587.894736842107</v>
      </c>
      <c r="N172" s="2">
        <v>478</v>
      </c>
    </row>
    <row r="173" spans="1:14" x14ac:dyDescent="0.4">
      <c r="A173" s="1">
        <v>100172</v>
      </c>
      <c r="B173" s="1"/>
      <c r="C173" s="1"/>
      <c r="D173" s="1"/>
      <c r="E173" s="1"/>
      <c r="F173" s="1"/>
      <c r="G173" s="1">
        <v>10.5</v>
      </c>
      <c r="H173" s="1">
        <v>44.5</v>
      </c>
      <c r="I173" s="5">
        <f t="shared" si="8"/>
        <v>63587.894736842107</v>
      </c>
      <c r="J173" s="1"/>
      <c r="K173" s="1" t="s">
        <v>32</v>
      </c>
      <c r="L173" s="1"/>
      <c r="M173" s="4">
        <f t="shared" si="9"/>
        <v>63587.894736842107</v>
      </c>
      <c r="N173" s="2">
        <v>478</v>
      </c>
    </row>
    <row r="174" spans="1:14" ht="189.45" x14ac:dyDescent="0.4">
      <c r="A174" s="1">
        <v>100173</v>
      </c>
      <c r="B174" s="1"/>
      <c r="C174" s="1" t="s">
        <v>82</v>
      </c>
      <c r="D174" s="1" t="s">
        <v>38</v>
      </c>
      <c r="E174" s="1" t="s">
        <v>13</v>
      </c>
      <c r="F174" s="1" t="s">
        <v>83</v>
      </c>
      <c r="G174" s="1">
        <v>3.5</v>
      </c>
      <c r="H174" s="1">
        <v>35.5</v>
      </c>
      <c r="I174" s="5">
        <f t="shared" si="8"/>
        <v>65262.368421052633</v>
      </c>
      <c r="J174" s="1"/>
      <c r="K174" s="1" t="s">
        <v>25</v>
      </c>
      <c r="L174" s="9" t="s">
        <v>84</v>
      </c>
      <c r="M174" s="4">
        <f t="shared" si="9"/>
        <v>65262.368421052633</v>
      </c>
      <c r="N174" s="2">
        <v>499</v>
      </c>
    </row>
    <row r="175" spans="1:14" x14ac:dyDescent="0.4">
      <c r="A175" s="1">
        <v>100174</v>
      </c>
      <c r="B175" s="1"/>
      <c r="C175" s="1"/>
      <c r="D175" s="1"/>
      <c r="E175" s="1"/>
      <c r="F175" s="1"/>
      <c r="G175" s="1">
        <v>4</v>
      </c>
      <c r="H175" s="1">
        <v>36</v>
      </c>
      <c r="I175" s="5">
        <f t="shared" si="8"/>
        <v>64465</v>
      </c>
      <c r="J175" s="1"/>
      <c r="K175" s="1" t="s">
        <v>25</v>
      </c>
      <c r="L175" s="1"/>
      <c r="M175" s="4">
        <f t="shared" si="9"/>
        <v>64465</v>
      </c>
      <c r="N175" s="2">
        <v>489</v>
      </c>
    </row>
    <row r="176" spans="1:14" x14ac:dyDescent="0.4">
      <c r="A176" s="1">
        <v>100175</v>
      </c>
      <c r="B176" s="1"/>
      <c r="C176" s="1"/>
      <c r="D176" s="1"/>
      <c r="E176" s="1"/>
      <c r="F176" s="1"/>
      <c r="G176" s="1">
        <v>4.5</v>
      </c>
      <c r="H176" s="1">
        <v>36.5</v>
      </c>
      <c r="I176" s="5">
        <f t="shared" si="8"/>
        <v>63667.631578947374</v>
      </c>
      <c r="J176" s="1"/>
      <c r="K176" s="1" t="s">
        <v>25</v>
      </c>
      <c r="L176" s="1"/>
      <c r="M176" s="4">
        <f t="shared" si="9"/>
        <v>63667.631578947374</v>
      </c>
      <c r="N176" s="2">
        <v>479</v>
      </c>
    </row>
    <row r="177" spans="1:14" x14ac:dyDescent="0.4">
      <c r="A177" s="1">
        <v>100176</v>
      </c>
      <c r="B177" s="1"/>
      <c r="C177" s="1"/>
      <c r="D177" s="1"/>
      <c r="E177" s="1"/>
      <c r="F177" s="1"/>
      <c r="G177" s="1">
        <v>5</v>
      </c>
      <c r="H177" s="1">
        <v>37.5</v>
      </c>
      <c r="I177" s="5">
        <f t="shared" si="8"/>
        <v>66059.736842105267</v>
      </c>
      <c r="J177" s="1"/>
      <c r="K177" s="1" t="s">
        <v>25</v>
      </c>
      <c r="L177" s="1"/>
      <c r="M177" s="4">
        <f t="shared" si="9"/>
        <v>66059.736842105267</v>
      </c>
      <c r="N177" s="2">
        <v>509</v>
      </c>
    </row>
    <row r="178" spans="1:14" x14ac:dyDescent="0.4">
      <c r="A178" s="1">
        <v>100177</v>
      </c>
      <c r="B178" s="1"/>
      <c r="C178" s="1"/>
      <c r="D178" s="1"/>
      <c r="E178" s="1"/>
      <c r="F178" s="1"/>
      <c r="G178" s="1">
        <v>5.5</v>
      </c>
      <c r="H178" s="1">
        <v>38</v>
      </c>
      <c r="I178" s="5">
        <f t="shared" si="8"/>
        <v>66059.736842105267</v>
      </c>
      <c r="J178" s="1"/>
      <c r="K178" s="1" t="s">
        <v>25</v>
      </c>
      <c r="L178" s="1"/>
      <c r="M178" s="4">
        <f t="shared" si="9"/>
        <v>66059.736842105267</v>
      </c>
      <c r="N178" s="2">
        <v>509</v>
      </c>
    </row>
    <row r="179" spans="1:14" x14ac:dyDescent="0.4">
      <c r="A179" s="1">
        <v>100178</v>
      </c>
      <c r="B179" s="1"/>
      <c r="C179" s="1"/>
      <c r="D179" s="1"/>
      <c r="E179" s="1"/>
      <c r="F179" s="1"/>
      <c r="G179" s="1">
        <v>6</v>
      </c>
      <c r="H179" s="1">
        <v>38.5</v>
      </c>
      <c r="I179" s="5">
        <f t="shared" si="8"/>
        <v>66857.105263157893</v>
      </c>
      <c r="J179" s="1"/>
      <c r="K179" s="1" t="s">
        <v>25</v>
      </c>
      <c r="L179" s="1"/>
      <c r="M179" s="4">
        <f t="shared" si="9"/>
        <v>66857.105263157893</v>
      </c>
      <c r="N179" s="2">
        <v>519</v>
      </c>
    </row>
    <row r="180" spans="1:14" x14ac:dyDescent="0.4">
      <c r="A180" s="1">
        <v>100179</v>
      </c>
      <c r="B180" s="1"/>
      <c r="C180" s="1"/>
      <c r="D180" s="1"/>
      <c r="E180" s="1"/>
      <c r="F180" s="1"/>
      <c r="G180" s="1">
        <v>6.5</v>
      </c>
      <c r="H180" s="1">
        <v>39</v>
      </c>
      <c r="I180" s="5">
        <f t="shared" si="8"/>
        <v>69249.210526315786</v>
      </c>
      <c r="J180" s="1"/>
      <c r="K180" s="1" t="s">
        <v>25</v>
      </c>
      <c r="L180" s="1"/>
      <c r="M180" s="4">
        <f t="shared" si="9"/>
        <v>69249.210526315786</v>
      </c>
      <c r="N180" s="2">
        <v>549</v>
      </c>
    </row>
    <row r="181" spans="1:14" x14ac:dyDescent="0.4">
      <c r="A181" s="1">
        <v>100180</v>
      </c>
      <c r="B181" s="1"/>
      <c r="C181" s="1"/>
      <c r="D181" s="1"/>
      <c r="E181" s="1"/>
      <c r="F181" s="1"/>
      <c r="G181" s="1">
        <v>7</v>
      </c>
      <c r="H181" s="1">
        <v>40</v>
      </c>
      <c r="I181" s="5">
        <f t="shared" si="8"/>
        <v>71641.315789473694</v>
      </c>
      <c r="J181" s="1"/>
      <c r="K181" s="1" t="s">
        <v>25</v>
      </c>
      <c r="L181" s="1"/>
      <c r="M181" s="4">
        <f t="shared" si="9"/>
        <v>71641.315789473694</v>
      </c>
      <c r="N181" s="2">
        <v>579</v>
      </c>
    </row>
    <row r="182" spans="1:14" x14ac:dyDescent="0.4">
      <c r="A182" s="1">
        <v>100181</v>
      </c>
      <c r="B182" s="1"/>
      <c r="C182" s="1"/>
      <c r="D182" s="1"/>
      <c r="E182" s="1"/>
      <c r="F182" s="1"/>
      <c r="G182" s="1">
        <v>7.5</v>
      </c>
      <c r="H182" s="1">
        <v>40.5</v>
      </c>
      <c r="I182" s="5">
        <f t="shared" si="8"/>
        <v>71641.315789473694</v>
      </c>
      <c r="J182" s="1"/>
      <c r="K182" s="1" t="s">
        <v>25</v>
      </c>
      <c r="L182" s="1"/>
      <c r="M182" s="4">
        <f t="shared" si="9"/>
        <v>71641.315789473694</v>
      </c>
      <c r="N182" s="2">
        <v>579</v>
      </c>
    </row>
    <row r="183" spans="1:14" x14ac:dyDescent="0.4">
      <c r="A183" s="1">
        <v>100182</v>
      </c>
      <c r="B183" s="1"/>
      <c r="C183" s="1"/>
      <c r="D183" s="1"/>
      <c r="E183" s="1"/>
      <c r="F183" s="1"/>
      <c r="G183" s="1">
        <v>8</v>
      </c>
      <c r="H183" s="1">
        <v>41</v>
      </c>
      <c r="I183" s="5">
        <f t="shared" si="8"/>
        <v>75628.15789473684</v>
      </c>
      <c r="J183" s="1"/>
      <c r="K183" s="1" t="s">
        <v>25</v>
      </c>
      <c r="L183" s="1"/>
      <c r="M183" s="4">
        <f t="shared" si="9"/>
        <v>75628.15789473684</v>
      </c>
      <c r="N183" s="2">
        <v>629</v>
      </c>
    </row>
    <row r="184" spans="1:14" x14ac:dyDescent="0.4">
      <c r="A184" s="1">
        <v>100183</v>
      </c>
      <c r="B184" s="1"/>
      <c r="C184" s="1"/>
      <c r="D184" s="1"/>
      <c r="E184" s="1"/>
      <c r="F184" s="1"/>
      <c r="G184" s="1">
        <v>8.5</v>
      </c>
      <c r="H184" s="1">
        <v>42</v>
      </c>
      <c r="I184" s="5">
        <f t="shared" si="8"/>
        <v>77222.894736842107</v>
      </c>
      <c r="J184" s="1"/>
      <c r="K184" s="1" t="s">
        <v>25</v>
      </c>
      <c r="L184" s="1"/>
      <c r="M184" s="4">
        <f t="shared" si="9"/>
        <v>77222.894736842107</v>
      </c>
      <c r="N184" s="2">
        <v>649</v>
      </c>
    </row>
    <row r="185" spans="1:14" x14ac:dyDescent="0.4">
      <c r="A185" s="1">
        <v>100184</v>
      </c>
      <c r="B185" s="1"/>
      <c r="C185" s="1"/>
      <c r="D185" s="1"/>
      <c r="E185" s="1"/>
      <c r="F185" s="1"/>
      <c r="G185" s="1">
        <v>9</v>
      </c>
      <c r="H185" s="1">
        <v>42.5</v>
      </c>
      <c r="I185" s="5">
        <f t="shared" si="8"/>
        <v>76425.526315789481</v>
      </c>
      <c r="J185" s="1"/>
      <c r="K185" s="1" t="s">
        <v>25</v>
      </c>
      <c r="L185" s="1"/>
      <c r="M185" s="4">
        <f t="shared" si="9"/>
        <v>76425.526315789481</v>
      </c>
      <c r="N185" s="2">
        <v>639</v>
      </c>
    </row>
    <row r="186" spans="1:14" x14ac:dyDescent="0.4">
      <c r="A186" s="1">
        <v>100185</v>
      </c>
      <c r="B186" s="1"/>
      <c r="C186" s="1"/>
      <c r="D186" s="1"/>
      <c r="E186" s="1"/>
      <c r="F186" s="1"/>
      <c r="G186" s="1">
        <v>9.5</v>
      </c>
      <c r="H186" s="1">
        <v>43</v>
      </c>
      <c r="I186" s="5">
        <f t="shared" si="8"/>
        <v>77222.894736842107</v>
      </c>
      <c r="J186" s="1"/>
      <c r="K186" s="1" t="s">
        <v>25</v>
      </c>
      <c r="L186" s="1"/>
      <c r="M186" s="4">
        <f t="shared" si="9"/>
        <v>77222.894736842107</v>
      </c>
      <c r="N186" s="2">
        <v>649</v>
      </c>
    </row>
    <row r="187" spans="1:14" x14ac:dyDescent="0.4">
      <c r="A187" s="1">
        <v>100186</v>
      </c>
      <c r="B187" s="1"/>
      <c r="C187" s="1"/>
      <c r="D187" s="1"/>
      <c r="E187" s="1"/>
      <c r="F187" s="1"/>
      <c r="G187" s="1">
        <v>10</v>
      </c>
      <c r="H187" s="1">
        <v>44</v>
      </c>
      <c r="I187" s="5">
        <f t="shared" si="8"/>
        <v>74033.421052631587</v>
      </c>
      <c r="J187" s="1"/>
      <c r="K187" s="1" t="s">
        <v>25</v>
      </c>
      <c r="L187" s="1"/>
      <c r="M187" s="4">
        <f t="shared" si="9"/>
        <v>74033.421052631587</v>
      </c>
      <c r="N187" s="2">
        <v>609</v>
      </c>
    </row>
    <row r="188" spans="1:14" x14ac:dyDescent="0.4">
      <c r="A188" s="1">
        <v>100187</v>
      </c>
      <c r="B188" s="1"/>
      <c r="C188" s="1"/>
      <c r="D188" s="1"/>
      <c r="E188" s="1"/>
      <c r="F188" s="1"/>
      <c r="G188" s="1">
        <v>10.5</v>
      </c>
      <c r="H188" s="1">
        <v>44.5</v>
      </c>
      <c r="I188" s="5">
        <f t="shared" si="8"/>
        <v>74033.421052631587</v>
      </c>
      <c r="J188" s="1"/>
      <c r="K188" s="1" t="s">
        <v>25</v>
      </c>
      <c r="L188" s="1"/>
      <c r="M188" s="4">
        <f t="shared" si="9"/>
        <v>74033.421052631587</v>
      </c>
      <c r="N188" s="2">
        <v>609</v>
      </c>
    </row>
    <row r="189" spans="1:14" ht="189.45" x14ac:dyDescent="0.4">
      <c r="A189" s="1">
        <v>100188</v>
      </c>
      <c r="B189" s="1"/>
      <c r="C189" s="1"/>
      <c r="D189" s="1" t="s">
        <v>38</v>
      </c>
      <c r="E189" s="1" t="s">
        <v>43</v>
      </c>
      <c r="F189" s="1" t="s">
        <v>85</v>
      </c>
      <c r="G189" s="1">
        <v>3.5</v>
      </c>
      <c r="H189" s="1">
        <v>35.5</v>
      </c>
      <c r="I189" s="5">
        <f t="shared" si="8"/>
        <v>86791.315789473694</v>
      </c>
      <c r="J189" s="1"/>
      <c r="K189" s="1" t="s">
        <v>25</v>
      </c>
      <c r="L189" s="9" t="s">
        <v>84</v>
      </c>
      <c r="M189" s="4">
        <f t="shared" si="9"/>
        <v>86791.315789473694</v>
      </c>
      <c r="N189" s="2">
        <v>769</v>
      </c>
    </row>
    <row r="190" spans="1:14" x14ac:dyDescent="0.4">
      <c r="A190" s="1">
        <v>100189</v>
      </c>
      <c r="B190" s="1"/>
      <c r="C190" s="1"/>
      <c r="D190" s="1"/>
      <c r="E190" s="1"/>
      <c r="F190" s="1"/>
      <c r="G190" s="1">
        <v>4</v>
      </c>
      <c r="H190" s="1">
        <v>36</v>
      </c>
      <c r="I190" s="5">
        <f t="shared" si="8"/>
        <v>73236.052631578947</v>
      </c>
      <c r="J190" s="1"/>
      <c r="K190" s="1" t="s">
        <v>25</v>
      </c>
      <c r="L190" s="1"/>
      <c r="M190" s="4">
        <f t="shared" si="9"/>
        <v>73236.052631578947</v>
      </c>
      <c r="N190" s="2">
        <v>599</v>
      </c>
    </row>
    <row r="191" spans="1:14" x14ac:dyDescent="0.4">
      <c r="A191" s="1">
        <v>100190</v>
      </c>
      <c r="B191" s="1"/>
      <c r="C191" s="1"/>
      <c r="D191" s="1"/>
      <c r="E191" s="1"/>
      <c r="F191" s="1"/>
      <c r="G191" s="1">
        <v>4.5</v>
      </c>
      <c r="H191" s="1">
        <v>36.5</v>
      </c>
      <c r="I191" s="5">
        <f t="shared" si="8"/>
        <v>66857.105263157893</v>
      </c>
      <c r="J191" s="1"/>
      <c r="K191" s="1" t="s">
        <v>25</v>
      </c>
      <c r="L191" s="1"/>
      <c r="M191" s="4">
        <f t="shared" si="9"/>
        <v>66857.105263157893</v>
      </c>
      <c r="N191" s="2">
        <v>519</v>
      </c>
    </row>
    <row r="192" spans="1:14" x14ac:dyDescent="0.4">
      <c r="A192" s="1">
        <v>100191</v>
      </c>
      <c r="B192" s="1"/>
      <c r="C192" s="1"/>
      <c r="D192" s="1"/>
      <c r="E192" s="1"/>
      <c r="F192" s="1"/>
      <c r="G192" s="1">
        <v>5</v>
      </c>
      <c r="H192" s="1">
        <v>37.5</v>
      </c>
      <c r="I192" s="5">
        <f t="shared" si="8"/>
        <v>66857.105263157893</v>
      </c>
      <c r="J192" s="1"/>
      <c r="K192" s="1" t="s">
        <v>25</v>
      </c>
      <c r="L192" s="1"/>
      <c r="M192" s="4">
        <f t="shared" si="9"/>
        <v>66857.105263157893</v>
      </c>
      <c r="N192" s="2">
        <v>519</v>
      </c>
    </row>
    <row r="193" spans="1:14" x14ac:dyDescent="0.4">
      <c r="A193" s="1">
        <v>100192</v>
      </c>
      <c r="B193" s="1"/>
      <c r="C193" s="1"/>
      <c r="D193" s="1"/>
      <c r="E193" s="1"/>
      <c r="F193" s="1"/>
      <c r="G193" s="1">
        <v>5.5</v>
      </c>
      <c r="H193" s="1">
        <v>38</v>
      </c>
      <c r="I193" s="5">
        <f t="shared" si="8"/>
        <v>66857.105263157893</v>
      </c>
      <c r="J193" s="1"/>
      <c r="K193" s="1" t="s">
        <v>25</v>
      </c>
      <c r="L193" s="1"/>
      <c r="M193" s="4">
        <f t="shared" si="9"/>
        <v>66857.105263157893</v>
      </c>
      <c r="N193" s="2">
        <v>519</v>
      </c>
    </row>
    <row r="194" spans="1:14" x14ac:dyDescent="0.4">
      <c r="A194" s="1">
        <v>100193</v>
      </c>
      <c r="B194" s="1"/>
      <c r="C194" s="1"/>
      <c r="D194" s="1"/>
      <c r="E194" s="1"/>
      <c r="F194" s="1"/>
      <c r="G194" s="1">
        <v>6</v>
      </c>
      <c r="H194" s="1">
        <v>38.5</v>
      </c>
      <c r="I194" s="5">
        <f t="shared" si="8"/>
        <v>67654.473684210534</v>
      </c>
      <c r="J194" s="1"/>
      <c r="K194" s="1" t="s">
        <v>25</v>
      </c>
      <c r="L194" s="1"/>
      <c r="M194" s="4">
        <f t="shared" si="9"/>
        <v>67654.473684210534</v>
      </c>
      <c r="N194" s="2">
        <v>529</v>
      </c>
    </row>
    <row r="195" spans="1:14" x14ac:dyDescent="0.4">
      <c r="A195" s="1">
        <v>100194</v>
      </c>
      <c r="B195" s="1"/>
      <c r="C195" s="1"/>
      <c r="D195" s="1"/>
      <c r="E195" s="1"/>
      <c r="F195" s="1"/>
      <c r="G195" s="1">
        <v>6.5</v>
      </c>
      <c r="H195" s="1">
        <v>39</v>
      </c>
      <c r="I195" s="5">
        <f t="shared" si="8"/>
        <v>73236.052631578947</v>
      </c>
      <c r="J195" s="1"/>
      <c r="K195" s="1" t="s">
        <v>25</v>
      </c>
      <c r="L195" s="1"/>
      <c r="M195" s="4">
        <f t="shared" si="9"/>
        <v>73236.052631578947</v>
      </c>
      <c r="N195" s="2">
        <v>599</v>
      </c>
    </row>
    <row r="196" spans="1:14" x14ac:dyDescent="0.4">
      <c r="A196" s="1">
        <v>100195</v>
      </c>
      <c r="B196" s="1"/>
      <c r="C196" s="1"/>
      <c r="D196" s="1"/>
      <c r="E196" s="1"/>
      <c r="F196" s="1"/>
      <c r="G196" s="1">
        <v>7</v>
      </c>
      <c r="H196" s="1">
        <v>40</v>
      </c>
      <c r="I196" s="5">
        <f t="shared" si="8"/>
        <v>71641.315789473694</v>
      </c>
      <c r="J196" s="1"/>
      <c r="K196" s="1" t="s">
        <v>25</v>
      </c>
      <c r="L196" s="1"/>
      <c r="M196" s="4">
        <f t="shared" si="9"/>
        <v>71641.315789473694</v>
      </c>
      <c r="N196" s="2">
        <v>579</v>
      </c>
    </row>
    <row r="197" spans="1:14" x14ac:dyDescent="0.4">
      <c r="A197" s="1">
        <v>100196</v>
      </c>
      <c r="B197" s="1"/>
      <c r="C197" s="1"/>
      <c r="D197" s="1"/>
      <c r="E197" s="1"/>
      <c r="F197" s="1"/>
      <c r="G197" s="1">
        <v>7.5</v>
      </c>
      <c r="H197" s="1">
        <v>40.5</v>
      </c>
      <c r="I197" s="5">
        <f t="shared" si="8"/>
        <v>72438.68421052632</v>
      </c>
      <c r="J197" s="1"/>
      <c r="K197" s="1" t="s">
        <v>25</v>
      </c>
      <c r="L197" s="1"/>
      <c r="M197" s="4">
        <f t="shared" si="9"/>
        <v>72438.68421052632</v>
      </c>
      <c r="N197" s="2">
        <v>589</v>
      </c>
    </row>
    <row r="198" spans="1:14" x14ac:dyDescent="0.4">
      <c r="A198" s="1">
        <v>100197</v>
      </c>
      <c r="B198" s="1"/>
      <c r="C198" s="1"/>
      <c r="D198" s="1"/>
      <c r="E198" s="1"/>
      <c r="F198" s="1"/>
      <c r="G198" s="1">
        <v>8</v>
      </c>
      <c r="H198" s="1">
        <v>41</v>
      </c>
      <c r="I198" s="5">
        <f t="shared" si="8"/>
        <v>74830.789473684214</v>
      </c>
      <c r="J198" s="1"/>
      <c r="K198" s="1" t="s">
        <v>25</v>
      </c>
      <c r="L198" s="1"/>
      <c r="M198" s="4">
        <f t="shared" si="9"/>
        <v>74830.789473684214</v>
      </c>
      <c r="N198" s="2">
        <v>619</v>
      </c>
    </row>
    <row r="199" spans="1:14" x14ac:dyDescent="0.4">
      <c r="A199" s="1">
        <v>100198</v>
      </c>
      <c r="B199" s="1"/>
      <c r="C199" s="1"/>
      <c r="D199" s="1"/>
      <c r="E199" s="1"/>
      <c r="F199" s="1"/>
      <c r="G199" s="1">
        <v>8.5</v>
      </c>
      <c r="H199" s="1">
        <v>42</v>
      </c>
      <c r="I199" s="5">
        <f t="shared" si="8"/>
        <v>74033.421052631587</v>
      </c>
      <c r="J199" s="1"/>
      <c r="K199" s="1" t="s">
        <v>25</v>
      </c>
      <c r="L199" s="1"/>
      <c r="M199" s="4">
        <f t="shared" si="9"/>
        <v>74033.421052631587</v>
      </c>
      <c r="N199" s="2">
        <v>609</v>
      </c>
    </row>
    <row r="200" spans="1:14" x14ac:dyDescent="0.4">
      <c r="A200" s="1">
        <v>100199</v>
      </c>
      <c r="B200" s="1"/>
      <c r="C200" s="1"/>
      <c r="D200" s="1"/>
      <c r="E200" s="1"/>
      <c r="F200" s="1"/>
      <c r="G200" s="1">
        <v>9</v>
      </c>
      <c r="H200" s="1">
        <v>42.5</v>
      </c>
      <c r="I200" s="5">
        <f t="shared" si="8"/>
        <v>74830.789473684214</v>
      </c>
      <c r="J200" s="1"/>
      <c r="K200" s="1" t="s">
        <v>25</v>
      </c>
      <c r="L200" s="1"/>
      <c r="M200" s="4">
        <f t="shared" si="9"/>
        <v>74830.789473684214</v>
      </c>
      <c r="N200" s="2">
        <v>619</v>
      </c>
    </row>
    <row r="201" spans="1:14" x14ac:dyDescent="0.4">
      <c r="A201" s="1">
        <v>100200</v>
      </c>
      <c r="B201" s="1"/>
      <c r="C201" s="1"/>
      <c r="D201" s="1"/>
      <c r="E201" s="1"/>
      <c r="F201" s="1"/>
      <c r="G201" s="1">
        <v>9.5</v>
      </c>
      <c r="H201" s="1">
        <v>43</v>
      </c>
      <c r="I201" s="5">
        <f t="shared" si="8"/>
        <v>77222.894736842107</v>
      </c>
      <c r="J201" s="1"/>
      <c r="K201" s="1" t="s">
        <v>25</v>
      </c>
      <c r="L201" s="1"/>
      <c r="M201" s="4">
        <f t="shared" si="9"/>
        <v>77222.894736842107</v>
      </c>
      <c r="N201" s="2">
        <v>649</v>
      </c>
    </row>
    <row r="202" spans="1:14" x14ac:dyDescent="0.4">
      <c r="A202" s="1">
        <v>100201</v>
      </c>
      <c r="B202" s="1"/>
      <c r="C202" s="1"/>
      <c r="D202" s="1"/>
      <c r="E202" s="1"/>
      <c r="F202" s="1"/>
      <c r="G202" s="1">
        <v>10</v>
      </c>
      <c r="H202" s="1">
        <v>44</v>
      </c>
      <c r="I202" s="5">
        <f t="shared" ref="I202:I255" si="10">M202</f>
        <v>72438.68421052632</v>
      </c>
      <c r="J202" s="1"/>
      <c r="K202" s="1" t="s">
        <v>25</v>
      </c>
      <c r="L202" s="1"/>
      <c r="M202" s="4">
        <f t="shared" si="9"/>
        <v>72438.68421052632</v>
      </c>
      <c r="N202" s="2">
        <v>589</v>
      </c>
    </row>
    <row r="203" spans="1:14" x14ac:dyDescent="0.4">
      <c r="A203" s="1">
        <v>100202</v>
      </c>
      <c r="B203" s="1"/>
      <c r="C203" s="1"/>
      <c r="D203" s="1"/>
      <c r="E203" s="1"/>
      <c r="F203" s="1"/>
      <c r="G203" s="1">
        <v>10.5</v>
      </c>
      <c r="H203" s="1">
        <v>44.5</v>
      </c>
      <c r="I203" s="5">
        <f t="shared" si="10"/>
        <v>74033.421052631587</v>
      </c>
      <c r="J203" s="1"/>
      <c r="K203" s="1" t="s">
        <v>25</v>
      </c>
      <c r="L203" s="1"/>
      <c r="M203" s="4">
        <f t="shared" si="9"/>
        <v>74033.421052631587</v>
      </c>
      <c r="N203" s="2">
        <v>609</v>
      </c>
    </row>
    <row r="204" spans="1:14" ht="189.45" x14ac:dyDescent="0.4">
      <c r="A204" s="1">
        <v>100203</v>
      </c>
      <c r="B204" s="1"/>
      <c r="C204" s="1"/>
      <c r="D204" s="1" t="s">
        <v>38</v>
      </c>
      <c r="E204" s="1" t="s">
        <v>86</v>
      </c>
      <c r="F204" s="1" t="s">
        <v>87</v>
      </c>
      <c r="G204" s="1">
        <v>3.5</v>
      </c>
      <c r="H204" s="1">
        <v>35.5</v>
      </c>
      <c r="I204" s="5">
        <f t="shared" si="10"/>
        <v>62072.894736842107</v>
      </c>
      <c r="J204" s="1"/>
      <c r="K204" s="1" t="s">
        <v>25</v>
      </c>
      <c r="L204" s="9" t="s">
        <v>84</v>
      </c>
      <c r="M204" s="4">
        <f t="shared" si="9"/>
        <v>62072.894736842107</v>
      </c>
      <c r="N204" s="2">
        <v>459</v>
      </c>
    </row>
    <row r="205" spans="1:14" x14ac:dyDescent="0.4">
      <c r="A205" s="1">
        <v>100204</v>
      </c>
      <c r="B205" s="1"/>
      <c r="C205" s="1"/>
      <c r="D205" s="1"/>
      <c r="E205" s="1"/>
      <c r="F205" s="1"/>
      <c r="G205" s="1">
        <v>4</v>
      </c>
      <c r="H205" s="1">
        <v>36</v>
      </c>
      <c r="I205" s="5">
        <f t="shared" si="10"/>
        <v>74033.421052631587</v>
      </c>
      <c r="J205" s="1"/>
      <c r="K205" s="1" t="s">
        <v>25</v>
      </c>
      <c r="L205" s="1"/>
      <c r="M205" s="4">
        <f t="shared" si="9"/>
        <v>74033.421052631587</v>
      </c>
      <c r="N205" s="2">
        <v>609</v>
      </c>
    </row>
    <row r="206" spans="1:14" x14ac:dyDescent="0.4">
      <c r="A206" s="1">
        <v>100205</v>
      </c>
      <c r="B206" s="1"/>
      <c r="C206" s="1"/>
      <c r="D206" s="1"/>
      <c r="E206" s="1"/>
      <c r="F206" s="1"/>
      <c r="G206" s="1">
        <v>4.5</v>
      </c>
      <c r="H206" s="1">
        <v>36.5</v>
      </c>
      <c r="I206" s="5">
        <f t="shared" si="10"/>
        <v>74033.421052631587</v>
      </c>
      <c r="J206" s="1"/>
      <c r="K206" s="1" t="s">
        <v>25</v>
      </c>
      <c r="L206" s="1"/>
      <c r="M206" s="4">
        <f t="shared" si="9"/>
        <v>74033.421052631587</v>
      </c>
      <c r="N206" s="2">
        <v>609</v>
      </c>
    </row>
    <row r="207" spans="1:14" x14ac:dyDescent="0.4">
      <c r="A207" s="1">
        <v>100206</v>
      </c>
      <c r="B207" s="1"/>
      <c r="C207" s="1"/>
      <c r="D207" s="1"/>
      <c r="E207" s="1"/>
      <c r="F207" s="1"/>
      <c r="G207" s="1">
        <v>5</v>
      </c>
      <c r="H207" s="1">
        <v>37.5</v>
      </c>
      <c r="I207" s="5">
        <f t="shared" si="10"/>
        <v>74033.421052631587</v>
      </c>
      <c r="J207" s="1"/>
      <c r="K207" s="1" t="s">
        <v>25</v>
      </c>
      <c r="L207" s="1"/>
      <c r="M207" s="4">
        <f t="shared" si="9"/>
        <v>74033.421052631587</v>
      </c>
      <c r="N207" s="2">
        <v>609</v>
      </c>
    </row>
    <row r="208" spans="1:14" x14ac:dyDescent="0.4">
      <c r="A208" s="1">
        <v>100207</v>
      </c>
      <c r="B208" s="1"/>
      <c r="C208" s="1"/>
      <c r="D208" s="1"/>
      <c r="E208" s="1"/>
      <c r="F208" s="1"/>
      <c r="G208" s="1">
        <v>5.5</v>
      </c>
      <c r="H208" s="1">
        <v>38</v>
      </c>
      <c r="I208" s="5">
        <f t="shared" si="10"/>
        <v>74033.421052631587</v>
      </c>
      <c r="J208" s="1"/>
      <c r="K208" s="1" t="s">
        <v>25</v>
      </c>
      <c r="L208" s="1"/>
      <c r="M208" s="4">
        <f t="shared" si="9"/>
        <v>74033.421052631587</v>
      </c>
      <c r="N208" s="2">
        <v>609</v>
      </c>
    </row>
    <row r="209" spans="1:14" x14ac:dyDescent="0.4">
      <c r="A209" s="1">
        <v>100208</v>
      </c>
      <c r="B209" s="1"/>
      <c r="C209" s="1"/>
      <c r="D209" s="1"/>
      <c r="E209" s="1"/>
      <c r="F209" s="1"/>
      <c r="G209" s="1">
        <v>6</v>
      </c>
      <c r="H209" s="1">
        <v>38.5</v>
      </c>
      <c r="I209" s="5">
        <f t="shared" si="10"/>
        <v>74033.421052631587</v>
      </c>
      <c r="J209" s="1"/>
      <c r="K209" s="1" t="s">
        <v>25</v>
      </c>
      <c r="L209" s="1"/>
      <c r="M209" s="4">
        <f t="shared" si="9"/>
        <v>74033.421052631587</v>
      </c>
      <c r="N209" s="2">
        <v>609</v>
      </c>
    </row>
    <row r="210" spans="1:14" x14ac:dyDescent="0.4">
      <c r="A210" s="1">
        <v>100209</v>
      </c>
      <c r="B210" s="1"/>
      <c r="C210" s="1"/>
      <c r="D210" s="1"/>
      <c r="E210" s="1"/>
      <c r="F210" s="1"/>
      <c r="G210" s="1">
        <v>6.5</v>
      </c>
      <c r="H210" s="1">
        <v>39</v>
      </c>
      <c r="I210" s="5">
        <f t="shared" si="10"/>
        <v>74033.421052631587</v>
      </c>
      <c r="J210" s="1"/>
      <c r="K210" s="1" t="s">
        <v>25</v>
      </c>
      <c r="L210" s="1"/>
      <c r="M210" s="4">
        <f t="shared" si="9"/>
        <v>74033.421052631587</v>
      </c>
      <c r="N210" s="2">
        <v>609</v>
      </c>
    </row>
    <row r="211" spans="1:14" x14ac:dyDescent="0.4">
      <c r="A211" s="1">
        <v>100210</v>
      </c>
      <c r="B211" s="1"/>
      <c r="C211" s="1"/>
      <c r="D211" s="1"/>
      <c r="E211" s="1"/>
      <c r="F211" s="1"/>
      <c r="G211" s="1">
        <v>7</v>
      </c>
      <c r="H211" s="1">
        <v>40</v>
      </c>
      <c r="I211" s="5">
        <f t="shared" si="10"/>
        <v>74033.421052631587</v>
      </c>
      <c r="J211" s="1"/>
      <c r="K211" s="1" t="s">
        <v>25</v>
      </c>
      <c r="L211" s="1"/>
      <c r="M211" s="4">
        <f t="shared" si="9"/>
        <v>74033.421052631587</v>
      </c>
      <c r="N211" s="2">
        <v>609</v>
      </c>
    </row>
    <row r="212" spans="1:14" x14ac:dyDescent="0.4">
      <c r="A212" s="1">
        <v>100211</v>
      </c>
      <c r="B212" s="1"/>
      <c r="C212" s="1"/>
      <c r="D212" s="1"/>
      <c r="E212" s="1"/>
      <c r="F212" s="1"/>
      <c r="G212" s="1">
        <v>7.5</v>
      </c>
      <c r="H212" s="1">
        <v>40.5</v>
      </c>
      <c r="I212" s="5">
        <f t="shared" si="10"/>
        <v>74033.421052631587</v>
      </c>
      <c r="J212" s="1"/>
      <c r="K212" s="1" t="s">
        <v>25</v>
      </c>
      <c r="L212" s="1"/>
      <c r="M212" s="4">
        <f t="shared" si="9"/>
        <v>74033.421052631587</v>
      </c>
      <c r="N212" s="2">
        <v>609</v>
      </c>
    </row>
    <row r="213" spans="1:14" x14ac:dyDescent="0.4">
      <c r="A213" s="1">
        <v>100212</v>
      </c>
      <c r="B213" s="1"/>
      <c r="C213" s="1"/>
      <c r="D213" s="1"/>
      <c r="E213" s="1"/>
      <c r="F213" s="1"/>
      <c r="G213" s="1">
        <v>8</v>
      </c>
      <c r="H213" s="1">
        <v>41</v>
      </c>
      <c r="I213" s="5">
        <f t="shared" si="10"/>
        <v>74033.421052631587</v>
      </c>
      <c r="J213" s="1"/>
      <c r="K213" s="1" t="s">
        <v>25</v>
      </c>
      <c r="L213" s="1"/>
      <c r="M213" s="4">
        <f t="shared" si="9"/>
        <v>74033.421052631587</v>
      </c>
      <c r="N213" s="2">
        <v>609</v>
      </c>
    </row>
    <row r="214" spans="1:14" x14ac:dyDescent="0.4">
      <c r="A214" s="1">
        <v>100213</v>
      </c>
      <c r="B214" s="1"/>
      <c r="C214" s="1"/>
      <c r="D214" s="1"/>
      <c r="E214" s="1"/>
      <c r="F214" s="1"/>
      <c r="G214" s="1">
        <v>8.5</v>
      </c>
      <c r="H214" s="1">
        <v>42</v>
      </c>
      <c r="I214" s="5">
        <f t="shared" si="10"/>
        <v>74033.421052631587</v>
      </c>
      <c r="J214" s="1"/>
      <c r="K214" s="1" t="s">
        <v>25</v>
      </c>
      <c r="L214" s="1"/>
      <c r="M214" s="4">
        <f t="shared" si="9"/>
        <v>74033.421052631587</v>
      </c>
      <c r="N214" s="2">
        <v>609</v>
      </c>
    </row>
    <row r="215" spans="1:14" x14ac:dyDescent="0.4">
      <c r="A215" s="1">
        <v>100214</v>
      </c>
      <c r="B215" s="1"/>
      <c r="C215" s="1"/>
      <c r="D215" s="1"/>
      <c r="E215" s="1"/>
      <c r="F215" s="1"/>
      <c r="G215" s="1">
        <v>9</v>
      </c>
      <c r="H215" s="1">
        <v>42.5</v>
      </c>
      <c r="I215" s="5">
        <f t="shared" si="10"/>
        <v>74033.421052631587</v>
      </c>
      <c r="J215" s="1"/>
      <c r="K215" s="1" t="s">
        <v>25</v>
      </c>
      <c r="L215" s="1"/>
      <c r="M215" s="4">
        <f t="shared" si="9"/>
        <v>74033.421052631587</v>
      </c>
      <c r="N215" s="2">
        <v>609</v>
      </c>
    </row>
    <row r="216" spans="1:14" x14ac:dyDescent="0.4">
      <c r="A216" s="1">
        <v>100215</v>
      </c>
      <c r="B216" s="1"/>
      <c r="C216" s="1"/>
      <c r="D216" s="1"/>
      <c r="E216" s="1"/>
      <c r="F216" s="1"/>
      <c r="G216" s="1">
        <v>9.5</v>
      </c>
      <c r="H216" s="1">
        <v>43</v>
      </c>
      <c r="I216" s="5">
        <f t="shared" si="10"/>
        <v>74033.421052631587</v>
      </c>
      <c r="J216" s="1"/>
      <c r="K216" s="1" t="s">
        <v>25</v>
      </c>
      <c r="L216" s="1"/>
      <c r="M216" s="4">
        <f t="shared" si="9"/>
        <v>74033.421052631587</v>
      </c>
      <c r="N216" s="2">
        <v>609</v>
      </c>
    </row>
    <row r="217" spans="1:14" x14ac:dyDescent="0.4">
      <c r="A217" s="1">
        <v>100216</v>
      </c>
      <c r="B217" s="1"/>
      <c r="C217" s="1"/>
      <c r="D217" s="1"/>
      <c r="E217" s="1"/>
      <c r="F217" s="1"/>
      <c r="G217" s="1">
        <v>10</v>
      </c>
      <c r="H217" s="1">
        <v>44</v>
      </c>
      <c r="I217" s="5">
        <f t="shared" si="10"/>
        <v>74033.421052631587</v>
      </c>
      <c r="J217" s="1"/>
      <c r="K217" s="1" t="s">
        <v>25</v>
      </c>
      <c r="L217" s="1"/>
      <c r="M217" s="4">
        <f t="shared" si="9"/>
        <v>74033.421052631587</v>
      </c>
      <c r="N217" s="2">
        <v>609</v>
      </c>
    </row>
    <row r="218" spans="1:14" x14ac:dyDescent="0.4">
      <c r="A218" s="1">
        <v>100217</v>
      </c>
      <c r="B218" s="1"/>
      <c r="C218" s="1"/>
      <c r="D218" s="1"/>
      <c r="E218" s="1"/>
      <c r="F218" s="1"/>
      <c r="G218" s="1">
        <v>10.5</v>
      </c>
      <c r="H218" s="1">
        <v>44.5</v>
      </c>
      <c r="I218" s="5">
        <f t="shared" si="10"/>
        <v>74033.421052631587</v>
      </c>
      <c r="J218" s="1"/>
      <c r="K218" s="1" t="s">
        <v>25</v>
      </c>
      <c r="L218" s="1"/>
      <c r="M218" s="4">
        <f t="shared" si="9"/>
        <v>74033.421052631587</v>
      </c>
      <c r="N218" s="2">
        <v>609</v>
      </c>
    </row>
    <row r="219" spans="1:14" ht="160.30000000000001" x14ac:dyDescent="0.4">
      <c r="A219" s="1">
        <v>100218</v>
      </c>
      <c r="B219" s="1"/>
      <c r="C219" s="1" t="s">
        <v>90</v>
      </c>
      <c r="D219" s="1" t="s">
        <v>38</v>
      </c>
      <c r="E219" s="1" t="s">
        <v>62</v>
      </c>
      <c r="F219" s="1" t="s">
        <v>88</v>
      </c>
      <c r="G219" s="1">
        <v>3.5</v>
      </c>
      <c r="H219" s="1">
        <v>35.5</v>
      </c>
      <c r="I219" s="5">
        <f t="shared" si="10"/>
        <v>88386.052631578947</v>
      </c>
      <c r="J219" s="1"/>
      <c r="K219" s="1" t="s">
        <v>25</v>
      </c>
      <c r="L219" s="9" t="s">
        <v>89</v>
      </c>
      <c r="M219" s="4">
        <f t="shared" si="9"/>
        <v>88386.052631578947</v>
      </c>
      <c r="N219" s="2">
        <v>789</v>
      </c>
    </row>
    <row r="220" spans="1:14" x14ac:dyDescent="0.4">
      <c r="A220" s="1">
        <v>100219</v>
      </c>
      <c r="B220" s="1"/>
      <c r="C220" s="1"/>
      <c r="D220" s="1"/>
      <c r="E220" s="1"/>
      <c r="F220" s="1"/>
      <c r="G220" s="1">
        <v>4</v>
      </c>
      <c r="H220" s="1">
        <v>36</v>
      </c>
      <c r="I220" s="5">
        <f t="shared" si="10"/>
        <v>60478.157894736847</v>
      </c>
      <c r="J220" s="1"/>
      <c r="K220" s="1" t="s">
        <v>25</v>
      </c>
      <c r="L220" s="1"/>
      <c r="M220" s="4">
        <f t="shared" si="9"/>
        <v>60478.157894736847</v>
      </c>
      <c r="N220" s="2">
        <v>439</v>
      </c>
    </row>
    <row r="221" spans="1:14" x14ac:dyDescent="0.4">
      <c r="A221" s="1">
        <v>100220</v>
      </c>
      <c r="B221" s="1"/>
      <c r="C221" s="1"/>
      <c r="D221" s="1"/>
      <c r="E221" s="1"/>
      <c r="F221" s="1"/>
      <c r="G221" s="1">
        <v>4.5</v>
      </c>
      <c r="H221" s="1">
        <v>36.5</v>
      </c>
      <c r="I221" s="5">
        <f t="shared" si="10"/>
        <v>66059.736842105267</v>
      </c>
      <c r="J221" s="1"/>
      <c r="K221" s="1" t="s">
        <v>25</v>
      </c>
      <c r="L221" s="1"/>
      <c r="M221" s="4">
        <f t="shared" si="9"/>
        <v>66059.736842105267</v>
      </c>
      <c r="N221" s="2">
        <v>509</v>
      </c>
    </row>
    <row r="222" spans="1:14" x14ac:dyDescent="0.4">
      <c r="A222" s="1">
        <v>100221</v>
      </c>
      <c r="B222" s="1"/>
      <c r="C222" s="1"/>
      <c r="D222" s="1"/>
      <c r="E222" s="1"/>
      <c r="F222" s="1"/>
      <c r="G222" s="1">
        <v>5</v>
      </c>
      <c r="H222" s="1">
        <v>37.5</v>
      </c>
      <c r="I222" s="5">
        <f t="shared" si="10"/>
        <v>65262.368421052633</v>
      </c>
      <c r="J222" s="1"/>
      <c r="K222" s="1" t="s">
        <v>25</v>
      </c>
      <c r="L222" s="1"/>
      <c r="M222" s="4">
        <f t="shared" si="9"/>
        <v>65262.368421052633</v>
      </c>
      <c r="N222" s="2">
        <v>499</v>
      </c>
    </row>
    <row r="223" spans="1:14" x14ac:dyDescent="0.4">
      <c r="A223" s="1">
        <v>100222</v>
      </c>
      <c r="B223" s="1"/>
      <c r="C223" s="1"/>
      <c r="D223" s="1"/>
      <c r="E223" s="1"/>
      <c r="F223" s="1"/>
      <c r="G223" s="1">
        <v>5.5</v>
      </c>
      <c r="H223" s="1">
        <v>38</v>
      </c>
      <c r="I223" s="5">
        <f t="shared" si="10"/>
        <v>67654.473684210534</v>
      </c>
      <c r="J223" s="1"/>
      <c r="K223" s="1" t="s">
        <v>25</v>
      </c>
      <c r="L223" s="1"/>
      <c r="M223" s="4">
        <f t="shared" ref="M223:M286" si="11">(N223*75+N223*75*0.01+15000+4200+5000)/0.95</f>
        <v>67654.473684210534</v>
      </c>
      <c r="N223" s="2">
        <v>529</v>
      </c>
    </row>
    <row r="224" spans="1:14" x14ac:dyDescent="0.4">
      <c r="A224" s="1">
        <v>100223</v>
      </c>
      <c r="B224" s="1"/>
      <c r="C224" s="1"/>
      <c r="D224" s="1"/>
      <c r="E224" s="1"/>
      <c r="F224" s="1"/>
      <c r="G224" s="1">
        <v>6</v>
      </c>
      <c r="H224" s="1">
        <v>38.5</v>
      </c>
      <c r="I224" s="5">
        <f t="shared" si="10"/>
        <v>78020.263157894748</v>
      </c>
      <c r="J224" s="1"/>
      <c r="K224" s="1" t="s">
        <v>25</v>
      </c>
      <c r="L224" s="1"/>
      <c r="M224" s="4">
        <f t="shared" si="11"/>
        <v>78020.263157894748</v>
      </c>
      <c r="N224" s="2">
        <v>659</v>
      </c>
    </row>
    <row r="225" spans="1:14" x14ac:dyDescent="0.4">
      <c r="A225" s="1">
        <v>100224</v>
      </c>
      <c r="B225" s="1"/>
      <c r="C225" s="1"/>
      <c r="D225" s="1"/>
      <c r="E225" s="1"/>
      <c r="F225" s="1"/>
      <c r="G225" s="1">
        <v>6.5</v>
      </c>
      <c r="H225" s="1">
        <v>39</v>
      </c>
      <c r="I225" s="5">
        <f t="shared" si="10"/>
        <v>89183.421052631587</v>
      </c>
      <c r="J225" s="1"/>
      <c r="K225" s="1" t="s">
        <v>25</v>
      </c>
      <c r="L225" s="1"/>
      <c r="M225" s="4">
        <f t="shared" si="11"/>
        <v>89183.421052631587</v>
      </c>
      <c r="N225" s="2">
        <v>799</v>
      </c>
    </row>
    <row r="226" spans="1:14" x14ac:dyDescent="0.4">
      <c r="A226" s="1">
        <v>100225</v>
      </c>
      <c r="B226" s="1"/>
      <c r="C226" s="1"/>
      <c r="D226" s="1"/>
      <c r="E226" s="1"/>
      <c r="F226" s="1"/>
      <c r="G226" s="1">
        <v>7</v>
      </c>
      <c r="H226" s="1">
        <v>40</v>
      </c>
      <c r="I226" s="5">
        <f t="shared" si="10"/>
        <v>112307.10526315789</v>
      </c>
      <c r="J226" s="1"/>
      <c r="K226" s="1" t="s">
        <v>25</v>
      </c>
      <c r="L226" s="1"/>
      <c r="M226" s="4">
        <f t="shared" si="11"/>
        <v>112307.10526315789</v>
      </c>
      <c r="N226" s="2">
        <v>1089</v>
      </c>
    </row>
    <row r="227" spans="1:14" x14ac:dyDescent="0.4">
      <c r="A227" s="1">
        <v>100226</v>
      </c>
      <c r="B227" s="1"/>
      <c r="C227" s="1"/>
      <c r="D227" s="1"/>
      <c r="E227" s="1"/>
      <c r="F227" s="1"/>
      <c r="G227" s="1">
        <v>7.5</v>
      </c>
      <c r="H227" s="1">
        <v>40.5</v>
      </c>
      <c r="I227" s="5">
        <f t="shared" si="10"/>
        <v>101143.94736842105</v>
      </c>
      <c r="J227" s="1"/>
      <c r="K227" s="1" t="s">
        <v>25</v>
      </c>
      <c r="L227" s="1"/>
      <c r="M227" s="4">
        <f t="shared" si="11"/>
        <v>101143.94736842105</v>
      </c>
      <c r="N227" s="2">
        <v>949</v>
      </c>
    </row>
    <row r="228" spans="1:14" x14ac:dyDescent="0.4">
      <c r="A228" s="1">
        <v>100227</v>
      </c>
      <c r="B228" s="1"/>
      <c r="C228" s="1"/>
      <c r="D228" s="1"/>
      <c r="E228" s="1"/>
      <c r="F228" s="1"/>
      <c r="G228" s="1">
        <v>8</v>
      </c>
      <c r="H228" s="1">
        <v>41</v>
      </c>
      <c r="I228" s="5">
        <f t="shared" si="10"/>
        <v>100346.57894736843</v>
      </c>
      <c r="J228" s="1"/>
      <c r="K228" s="1" t="s">
        <v>25</v>
      </c>
      <c r="L228" s="1"/>
      <c r="M228" s="4">
        <f t="shared" si="11"/>
        <v>100346.57894736843</v>
      </c>
      <c r="N228" s="2">
        <v>939</v>
      </c>
    </row>
    <row r="229" spans="1:14" x14ac:dyDescent="0.4">
      <c r="A229" s="1">
        <v>100228</v>
      </c>
      <c r="B229" s="1"/>
      <c r="C229" s="1"/>
      <c r="D229" s="1"/>
      <c r="E229" s="1"/>
      <c r="F229" s="1"/>
      <c r="G229" s="1">
        <v>8.5</v>
      </c>
      <c r="H229" s="1">
        <v>42</v>
      </c>
      <c r="I229" s="5">
        <f t="shared" si="10"/>
        <v>101143.94736842105</v>
      </c>
      <c r="J229" s="1"/>
      <c r="K229" s="1" t="s">
        <v>25</v>
      </c>
      <c r="L229" s="1"/>
      <c r="M229" s="4">
        <f t="shared" si="11"/>
        <v>101143.94736842105</v>
      </c>
      <c r="N229" s="2">
        <v>949</v>
      </c>
    </row>
    <row r="230" spans="1:14" x14ac:dyDescent="0.4">
      <c r="A230" s="1">
        <v>100229</v>
      </c>
      <c r="B230" s="1"/>
      <c r="C230" s="1"/>
      <c r="D230" s="1"/>
      <c r="E230" s="1"/>
      <c r="F230" s="1"/>
      <c r="G230" s="1">
        <v>9</v>
      </c>
      <c r="H230" s="1">
        <v>42.5</v>
      </c>
      <c r="I230" s="5">
        <f t="shared" si="10"/>
        <v>97954.473684210534</v>
      </c>
      <c r="J230" s="1"/>
      <c r="K230" s="1" t="s">
        <v>25</v>
      </c>
      <c r="L230" s="1"/>
      <c r="M230" s="4">
        <f t="shared" si="11"/>
        <v>97954.473684210534</v>
      </c>
      <c r="N230" s="2">
        <v>909</v>
      </c>
    </row>
    <row r="231" spans="1:14" x14ac:dyDescent="0.4">
      <c r="A231" s="1">
        <v>100230</v>
      </c>
      <c r="B231" s="1"/>
      <c r="C231" s="1"/>
      <c r="D231" s="1"/>
      <c r="E231" s="1"/>
      <c r="F231" s="1"/>
      <c r="G231" s="1">
        <v>9.5</v>
      </c>
      <c r="H231" s="1">
        <v>43</v>
      </c>
      <c r="I231" s="5">
        <f t="shared" si="10"/>
        <v>105130.78947368421</v>
      </c>
      <c r="J231" s="1"/>
      <c r="K231" s="1" t="s">
        <v>25</v>
      </c>
      <c r="L231" s="1"/>
      <c r="M231" s="4">
        <f t="shared" si="11"/>
        <v>105130.78947368421</v>
      </c>
      <c r="N231" s="2">
        <v>999</v>
      </c>
    </row>
    <row r="232" spans="1:14" x14ac:dyDescent="0.4">
      <c r="A232" s="1">
        <v>100231</v>
      </c>
      <c r="B232" s="1"/>
      <c r="C232" s="1"/>
      <c r="D232" s="1"/>
      <c r="E232" s="1"/>
      <c r="F232" s="1"/>
      <c r="G232" s="1">
        <v>10</v>
      </c>
      <c r="H232" s="1">
        <v>44</v>
      </c>
      <c r="I232" s="5">
        <f t="shared" si="10"/>
        <v>88386.052631578947</v>
      </c>
      <c r="J232" s="1"/>
      <c r="K232" s="1" t="s">
        <v>25</v>
      </c>
      <c r="L232" s="1"/>
      <c r="M232" s="4">
        <f t="shared" si="11"/>
        <v>88386.052631578947</v>
      </c>
      <c r="N232" s="2">
        <v>789</v>
      </c>
    </row>
    <row r="233" spans="1:14" x14ac:dyDescent="0.4">
      <c r="A233" s="1">
        <v>100232</v>
      </c>
      <c r="B233" s="1"/>
      <c r="C233" s="1"/>
      <c r="D233" s="1"/>
      <c r="E233" s="1"/>
      <c r="F233" s="1"/>
      <c r="G233" s="1">
        <v>10.5</v>
      </c>
      <c r="H233" s="1">
        <v>44.5</v>
      </c>
      <c r="I233" s="5">
        <f t="shared" si="10"/>
        <v>89980.789473684214</v>
      </c>
      <c r="J233" s="1"/>
      <c r="K233" s="1" t="s">
        <v>25</v>
      </c>
      <c r="L233" s="1"/>
      <c r="M233" s="4">
        <f t="shared" si="11"/>
        <v>89980.789473684214</v>
      </c>
      <c r="N233" s="2">
        <v>809</v>
      </c>
    </row>
    <row r="234" spans="1:14" ht="160.30000000000001" x14ac:dyDescent="0.4">
      <c r="A234" s="1">
        <v>100233</v>
      </c>
      <c r="B234" s="1"/>
      <c r="C234" s="1"/>
      <c r="D234" s="1"/>
      <c r="E234" s="1" t="s">
        <v>30</v>
      </c>
      <c r="F234" s="1" t="s">
        <v>91</v>
      </c>
      <c r="G234" s="1">
        <v>3.5</v>
      </c>
      <c r="H234" s="1">
        <v>35.5</v>
      </c>
      <c r="I234" s="5">
        <f t="shared" si="10"/>
        <v>73236.052631578947</v>
      </c>
      <c r="J234" s="1"/>
      <c r="K234" s="1" t="s">
        <v>32</v>
      </c>
      <c r="L234" s="9" t="s">
        <v>89</v>
      </c>
      <c r="M234" s="4">
        <f t="shared" si="11"/>
        <v>73236.052631578947</v>
      </c>
      <c r="N234" s="2">
        <v>599</v>
      </c>
    </row>
    <row r="235" spans="1:14" x14ac:dyDescent="0.4">
      <c r="A235" s="1">
        <v>100234</v>
      </c>
      <c r="B235" s="1"/>
      <c r="C235" s="1"/>
      <c r="D235" s="1"/>
      <c r="E235" s="1"/>
      <c r="F235" s="1"/>
      <c r="G235" s="1">
        <v>4</v>
      </c>
      <c r="H235" s="1">
        <v>36</v>
      </c>
      <c r="I235" s="5">
        <f t="shared" si="10"/>
        <v>73236.052631578947</v>
      </c>
      <c r="J235" s="1"/>
      <c r="K235" s="1" t="s">
        <v>25</v>
      </c>
      <c r="L235" s="1"/>
      <c r="M235" s="4">
        <f t="shared" si="11"/>
        <v>73236.052631578947</v>
      </c>
      <c r="N235" s="2">
        <v>599</v>
      </c>
    </row>
    <row r="236" spans="1:14" x14ac:dyDescent="0.4">
      <c r="A236" s="1">
        <v>100235</v>
      </c>
      <c r="B236" s="1"/>
      <c r="C236" s="1"/>
      <c r="D236" s="1"/>
      <c r="E236" s="1"/>
      <c r="F236" s="1"/>
      <c r="G236" s="1">
        <v>4.5</v>
      </c>
      <c r="H236" s="1">
        <v>36.5</v>
      </c>
      <c r="I236" s="5">
        <f t="shared" si="10"/>
        <v>75628.15789473684</v>
      </c>
      <c r="J236" s="1"/>
      <c r="K236" s="1" t="s">
        <v>25</v>
      </c>
      <c r="L236" s="1"/>
      <c r="M236" s="4">
        <f t="shared" si="11"/>
        <v>75628.15789473684</v>
      </c>
      <c r="N236" s="2">
        <v>629</v>
      </c>
    </row>
    <row r="237" spans="1:14" x14ac:dyDescent="0.4">
      <c r="A237" s="1">
        <v>100236</v>
      </c>
      <c r="B237" s="1"/>
      <c r="C237" s="1"/>
      <c r="D237" s="1"/>
      <c r="E237" s="1"/>
      <c r="F237" s="1"/>
      <c r="G237" s="1">
        <v>5</v>
      </c>
      <c r="H237" s="1">
        <v>37.5</v>
      </c>
      <c r="I237" s="5">
        <f t="shared" si="10"/>
        <v>97157.105263157893</v>
      </c>
      <c r="J237" s="1"/>
      <c r="K237" s="1" t="s">
        <v>25</v>
      </c>
      <c r="L237" s="1"/>
      <c r="M237" s="4">
        <f t="shared" si="11"/>
        <v>97157.105263157893</v>
      </c>
      <c r="N237" s="2">
        <v>899</v>
      </c>
    </row>
    <row r="238" spans="1:14" x14ac:dyDescent="0.4">
      <c r="A238" s="1">
        <v>100237</v>
      </c>
      <c r="B238" s="1"/>
      <c r="C238" s="1"/>
      <c r="D238" s="1"/>
      <c r="E238" s="1"/>
      <c r="F238" s="1"/>
      <c r="G238" s="1">
        <v>5.5</v>
      </c>
      <c r="H238" s="1">
        <v>38</v>
      </c>
      <c r="I238" s="5">
        <f t="shared" si="10"/>
        <v>84399.210526315786</v>
      </c>
      <c r="J238" s="1"/>
      <c r="K238" s="1" t="s">
        <v>25</v>
      </c>
      <c r="L238" s="1"/>
      <c r="M238" s="4">
        <f t="shared" si="11"/>
        <v>84399.210526315786</v>
      </c>
      <c r="N238" s="2">
        <v>739</v>
      </c>
    </row>
    <row r="239" spans="1:14" x14ac:dyDescent="0.4">
      <c r="A239" s="1">
        <v>100238</v>
      </c>
      <c r="B239" s="1"/>
      <c r="C239" s="1"/>
      <c r="D239" s="1"/>
      <c r="E239" s="1"/>
      <c r="F239" s="1"/>
      <c r="G239" s="1">
        <v>6</v>
      </c>
      <c r="H239" s="1">
        <v>38.5</v>
      </c>
      <c r="I239" s="5">
        <f t="shared" si="10"/>
        <v>70843.947368421053</v>
      </c>
      <c r="J239" s="1"/>
      <c r="K239" s="1" t="s">
        <v>25</v>
      </c>
      <c r="L239" s="1"/>
      <c r="M239" s="4">
        <f t="shared" si="11"/>
        <v>70843.947368421053</v>
      </c>
      <c r="N239" s="2">
        <v>569</v>
      </c>
    </row>
    <row r="240" spans="1:14" x14ac:dyDescent="0.4">
      <c r="A240" s="1">
        <v>100239</v>
      </c>
      <c r="B240" s="1"/>
      <c r="C240" s="1"/>
      <c r="D240" s="1"/>
      <c r="E240" s="1"/>
      <c r="F240" s="1"/>
      <c r="G240" s="1">
        <v>6.5</v>
      </c>
      <c r="H240" s="1">
        <v>39</v>
      </c>
      <c r="I240" s="5">
        <f t="shared" si="10"/>
        <v>89980.789473684214</v>
      </c>
      <c r="J240" s="1"/>
      <c r="K240" s="1" t="s">
        <v>25</v>
      </c>
      <c r="L240" s="1"/>
      <c r="M240" s="4">
        <f t="shared" si="11"/>
        <v>89980.789473684214</v>
      </c>
      <c r="N240" s="2">
        <v>809</v>
      </c>
    </row>
    <row r="241" spans="1:14" x14ac:dyDescent="0.4">
      <c r="A241" s="1">
        <v>100240</v>
      </c>
      <c r="B241" s="1"/>
      <c r="C241" s="1"/>
      <c r="D241" s="1"/>
      <c r="E241" s="1"/>
      <c r="F241" s="1"/>
      <c r="G241" s="1">
        <v>7</v>
      </c>
      <c r="H241" s="1">
        <v>40</v>
      </c>
      <c r="I241" s="5">
        <f t="shared" si="10"/>
        <v>95801.578947368427</v>
      </c>
      <c r="J241" s="1"/>
      <c r="K241" s="1" t="s">
        <v>25</v>
      </c>
      <c r="L241" s="1"/>
      <c r="M241" s="4">
        <f t="shared" si="11"/>
        <v>95801.578947368427</v>
      </c>
      <c r="N241" s="2">
        <v>882</v>
      </c>
    </row>
    <row r="242" spans="1:14" x14ac:dyDescent="0.4">
      <c r="A242" s="1">
        <v>100241</v>
      </c>
      <c r="B242" s="1"/>
      <c r="C242" s="1"/>
      <c r="D242" s="1"/>
      <c r="E242" s="1"/>
      <c r="F242" s="1"/>
      <c r="G242" s="1">
        <v>7.5</v>
      </c>
      <c r="H242" s="1">
        <v>40.5</v>
      </c>
      <c r="I242" s="5">
        <f t="shared" si="10"/>
        <v>93170.263157894748</v>
      </c>
      <c r="J242" s="1"/>
      <c r="K242" s="1" t="s">
        <v>25</v>
      </c>
      <c r="L242" s="1"/>
      <c r="M242" s="4">
        <f t="shared" si="11"/>
        <v>93170.263157894748</v>
      </c>
      <c r="N242" s="2">
        <v>849</v>
      </c>
    </row>
    <row r="243" spans="1:14" x14ac:dyDescent="0.4">
      <c r="A243" s="1">
        <v>100242</v>
      </c>
      <c r="B243" s="1"/>
      <c r="C243" s="1"/>
      <c r="D243" s="1"/>
      <c r="E243" s="1"/>
      <c r="F243" s="1"/>
      <c r="G243" s="1">
        <v>8</v>
      </c>
      <c r="H243" s="1">
        <v>41</v>
      </c>
      <c r="I243" s="5">
        <f t="shared" si="10"/>
        <v>106725.52631578948</v>
      </c>
      <c r="J243" s="1"/>
      <c r="K243" s="1" t="s">
        <v>25</v>
      </c>
      <c r="L243" s="1"/>
      <c r="M243" s="4">
        <f t="shared" si="11"/>
        <v>106725.52631578948</v>
      </c>
      <c r="N243" s="2">
        <v>1019</v>
      </c>
    </row>
    <row r="244" spans="1:14" x14ac:dyDescent="0.4">
      <c r="A244" s="1">
        <v>100243</v>
      </c>
      <c r="B244" s="1"/>
      <c r="C244" s="1"/>
      <c r="D244" s="1"/>
      <c r="E244" s="1"/>
      <c r="F244" s="1"/>
      <c r="G244" s="1">
        <v>8.5</v>
      </c>
      <c r="H244" s="1">
        <v>42</v>
      </c>
      <c r="I244" s="5">
        <f t="shared" si="10"/>
        <v>85993.947368421053</v>
      </c>
      <c r="J244" s="1"/>
      <c r="K244" s="1" t="s">
        <v>25</v>
      </c>
      <c r="L244" s="1"/>
      <c r="M244" s="4">
        <f t="shared" si="11"/>
        <v>85993.947368421053</v>
      </c>
      <c r="N244" s="2">
        <v>759</v>
      </c>
    </row>
    <row r="245" spans="1:14" x14ac:dyDescent="0.4">
      <c r="A245" s="1">
        <v>100244</v>
      </c>
      <c r="B245" s="1"/>
      <c r="C245" s="1"/>
      <c r="D245" s="1"/>
      <c r="E245" s="1"/>
      <c r="F245" s="1"/>
      <c r="G245" s="1">
        <v>9</v>
      </c>
      <c r="H245" s="1">
        <v>42.5</v>
      </c>
      <c r="I245" s="5">
        <f t="shared" si="10"/>
        <v>79615</v>
      </c>
      <c r="J245" s="1"/>
      <c r="K245" s="1" t="s">
        <v>25</v>
      </c>
      <c r="L245" s="1"/>
      <c r="M245" s="4">
        <f t="shared" si="11"/>
        <v>79615</v>
      </c>
      <c r="N245" s="2">
        <v>679</v>
      </c>
    </row>
    <row r="246" spans="1:14" x14ac:dyDescent="0.4">
      <c r="A246" s="1">
        <v>100245</v>
      </c>
      <c r="B246" s="1"/>
      <c r="C246" s="1"/>
      <c r="D246" s="1"/>
      <c r="E246" s="1"/>
      <c r="F246" s="1"/>
      <c r="G246" s="1">
        <v>9.5</v>
      </c>
      <c r="H246" s="1">
        <v>43</v>
      </c>
      <c r="I246" s="5">
        <f t="shared" si="10"/>
        <v>76425.526315789481</v>
      </c>
      <c r="J246" s="1"/>
      <c r="K246" s="1" t="s">
        <v>25</v>
      </c>
      <c r="L246" s="1"/>
      <c r="M246" s="4">
        <f t="shared" si="11"/>
        <v>76425.526315789481</v>
      </c>
      <c r="N246" s="2">
        <v>639</v>
      </c>
    </row>
    <row r="247" spans="1:14" x14ac:dyDescent="0.4">
      <c r="A247" s="1">
        <v>100246</v>
      </c>
      <c r="B247" s="1"/>
      <c r="C247" s="1"/>
      <c r="D247" s="1"/>
      <c r="E247" s="1"/>
      <c r="F247" s="1"/>
      <c r="G247" s="1">
        <v>10</v>
      </c>
      <c r="H247" s="1">
        <v>44</v>
      </c>
      <c r="I247" s="5">
        <f t="shared" si="10"/>
        <v>70843.947368421053</v>
      </c>
      <c r="J247" s="1"/>
      <c r="K247" s="1" t="s">
        <v>25</v>
      </c>
      <c r="L247" s="1"/>
      <c r="M247" s="4">
        <f t="shared" si="11"/>
        <v>70843.947368421053</v>
      </c>
      <c r="N247" s="2">
        <v>569</v>
      </c>
    </row>
    <row r="248" spans="1:14" x14ac:dyDescent="0.4">
      <c r="A248" s="1">
        <v>100247</v>
      </c>
      <c r="B248" s="1"/>
      <c r="C248" s="1"/>
      <c r="D248" s="1"/>
      <c r="E248" s="1"/>
      <c r="F248" s="1"/>
      <c r="G248" s="1">
        <v>10.5</v>
      </c>
      <c r="H248" s="1">
        <v>44.5</v>
      </c>
      <c r="I248" s="5">
        <f t="shared" si="10"/>
        <v>67654.473684210534</v>
      </c>
      <c r="J248" s="1"/>
      <c r="K248" s="1" t="s">
        <v>25</v>
      </c>
      <c r="L248" s="1"/>
      <c r="M248" s="4">
        <f t="shared" si="11"/>
        <v>67654.473684210534</v>
      </c>
      <c r="N248" s="2">
        <v>529</v>
      </c>
    </row>
    <row r="249" spans="1:14" ht="160.30000000000001" x14ac:dyDescent="0.4">
      <c r="A249" s="1">
        <v>100248</v>
      </c>
      <c r="B249" s="1"/>
      <c r="C249" s="1"/>
      <c r="D249" s="1"/>
      <c r="E249" s="1" t="s">
        <v>92</v>
      </c>
      <c r="F249" s="1" t="s">
        <v>93</v>
      </c>
      <c r="G249" s="1">
        <v>3.5</v>
      </c>
      <c r="H249" s="1">
        <v>35.5</v>
      </c>
      <c r="I249" s="5">
        <f t="shared" si="10"/>
        <v>89980.789473684214</v>
      </c>
      <c r="J249" s="1"/>
      <c r="K249" s="1" t="s">
        <v>32</v>
      </c>
      <c r="L249" s="9" t="s">
        <v>89</v>
      </c>
      <c r="M249" s="4">
        <f t="shared" si="11"/>
        <v>89980.789473684214</v>
      </c>
      <c r="N249" s="2">
        <v>809</v>
      </c>
    </row>
    <row r="250" spans="1:14" x14ac:dyDescent="0.4">
      <c r="A250" s="1">
        <v>100249</v>
      </c>
      <c r="B250" s="1"/>
      <c r="C250" s="1"/>
      <c r="D250" s="1"/>
      <c r="E250" s="1"/>
      <c r="F250" s="1"/>
      <c r="G250" s="1">
        <v>4</v>
      </c>
      <c r="H250" s="1">
        <v>36</v>
      </c>
      <c r="I250" s="5">
        <f t="shared" si="10"/>
        <v>93967.631578947374</v>
      </c>
      <c r="J250" s="1"/>
      <c r="K250" s="1" t="s">
        <v>25</v>
      </c>
      <c r="L250" s="1"/>
      <c r="M250" s="4">
        <f t="shared" si="11"/>
        <v>93967.631578947374</v>
      </c>
      <c r="N250" s="2">
        <v>859</v>
      </c>
    </row>
    <row r="251" spans="1:14" x14ac:dyDescent="0.4">
      <c r="A251" s="1">
        <v>100250</v>
      </c>
      <c r="B251" s="1"/>
      <c r="C251" s="1"/>
      <c r="D251" s="1"/>
      <c r="E251" s="1"/>
      <c r="F251" s="1"/>
      <c r="G251" s="1">
        <v>4.5</v>
      </c>
      <c r="H251" s="1">
        <v>36.5</v>
      </c>
      <c r="I251" s="5">
        <f t="shared" si="10"/>
        <v>86791.315789473694</v>
      </c>
      <c r="J251" s="1"/>
      <c r="K251" s="1" t="s">
        <v>25</v>
      </c>
      <c r="L251" s="1"/>
      <c r="M251" s="4">
        <f t="shared" si="11"/>
        <v>86791.315789473694</v>
      </c>
      <c r="N251" s="2">
        <v>769</v>
      </c>
    </row>
    <row r="252" spans="1:14" x14ac:dyDescent="0.4">
      <c r="A252" s="1">
        <v>100251</v>
      </c>
      <c r="B252" s="1"/>
      <c r="C252" s="1"/>
      <c r="D252" s="1"/>
      <c r="E252" s="1"/>
      <c r="F252" s="1"/>
      <c r="G252" s="1">
        <v>5</v>
      </c>
      <c r="H252" s="1">
        <v>37.5</v>
      </c>
      <c r="I252" s="5">
        <f t="shared" si="10"/>
        <v>120280.78947368421</v>
      </c>
      <c r="J252" s="1"/>
      <c r="K252" s="1" t="s">
        <v>25</v>
      </c>
      <c r="L252" s="1"/>
      <c r="M252" s="4">
        <f t="shared" si="11"/>
        <v>120280.78947368421</v>
      </c>
      <c r="N252" s="2">
        <v>1189</v>
      </c>
    </row>
    <row r="253" spans="1:14" x14ac:dyDescent="0.4">
      <c r="A253" s="1">
        <v>100252</v>
      </c>
      <c r="B253" s="1"/>
      <c r="C253" s="1"/>
      <c r="D253" s="1"/>
      <c r="E253" s="1"/>
      <c r="F253" s="1"/>
      <c r="G253" s="1">
        <v>5.5</v>
      </c>
      <c r="H253" s="1">
        <v>38</v>
      </c>
      <c r="I253" s="5">
        <f t="shared" si="10"/>
        <v>94765</v>
      </c>
      <c r="J253" s="1"/>
      <c r="K253" s="1" t="s">
        <v>25</v>
      </c>
      <c r="L253" s="1"/>
      <c r="M253" s="4">
        <f t="shared" si="11"/>
        <v>94765</v>
      </c>
      <c r="N253" s="2">
        <v>869</v>
      </c>
    </row>
    <row r="254" spans="1:14" x14ac:dyDescent="0.4">
      <c r="A254" s="1">
        <v>100253</v>
      </c>
      <c r="B254" s="1"/>
      <c r="C254" s="1"/>
      <c r="D254" s="1"/>
      <c r="E254" s="1"/>
      <c r="F254" s="1"/>
      <c r="G254" s="1">
        <v>6</v>
      </c>
      <c r="H254" s="1">
        <v>38.5</v>
      </c>
      <c r="I254" s="5">
        <f t="shared" si="10"/>
        <v>81209.736842105267</v>
      </c>
      <c r="J254" s="1"/>
      <c r="K254" s="1" t="s">
        <v>25</v>
      </c>
      <c r="L254" s="1"/>
      <c r="M254" s="4">
        <f t="shared" si="11"/>
        <v>81209.736842105267</v>
      </c>
      <c r="N254" s="2">
        <v>699</v>
      </c>
    </row>
    <row r="255" spans="1:14" x14ac:dyDescent="0.4">
      <c r="A255" s="1">
        <v>100254</v>
      </c>
      <c r="B255" s="1"/>
      <c r="C255" s="1"/>
      <c r="D255" s="1"/>
      <c r="E255" s="1"/>
      <c r="F255" s="1"/>
      <c r="G255" s="1">
        <v>6.5</v>
      </c>
      <c r="H255" s="1">
        <v>39</v>
      </c>
      <c r="I255" s="5">
        <f t="shared" si="10"/>
        <v>87588.68421052632</v>
      </c>
      <c r="J255" s="1"/>
      <c r="K255" s="1" t="s">
        <v>25</v>
      </c>
      <c r="L255" s="1"/>
      <c r="M255" s="4">
        <f t="shared" si="11"/>
        <v>87588.68421052632</v>
      </c>
      <c r="N255" s="2">
        <v>779</v>
      </c>
    </row>
    <row r="256" spans="1:14" x14ac:dyDescent="0.4">
      <c r="A256" s="1">
        <v>100255</v>
      </c>
      <c r="B256" s="1"/>
      <c r="C256" s="1"/>
      <c r="D256" s="1"/>
      <c r="E256" s="1"/>
      <c r="F256" s="1"/>
      <c r="G256" s="1">
        <v>7</v>
      </c>
      <c r="H256" s="1">
        <v>40</v>
      </c>
      <c r="I256" s="5">
        <f>M256</f>
        <v>100346.57894736843</v>
      </c>
      <c r="J256" s="1"/>
      <c r="K256" s="1" t="s">
        <v>25</v>
      </c>
      <c r="L256" s="1"/>
      <c r="M256" s="4">
        <f t="shared" si="11"/>
        <v>100346.57894736843</v>
      </c>
      <c r="N256" s="2">
        <v>939</v>
      </c>
    </row>
    <row r="257" spans="1:14" x14ac:dyDescent="0.4">
      <c r="A257" s="1">
        <v>100256</v>
      </c>
      <c r="B257" s="1"/>
      <c r="C257" s="1"/>
      <c r="D257" s="1"/>
      <c r="E257" s="1"/>
      <c r="F257" s="1"/>
      <c r="G257" s="1">
        <v>7.5</v>
      </c>
      <c r="H257" s="1">
        <v>40.5</v>
      </c>
      <c r="I257" s="5">
        <f t="shared" ref="I257:I290" si="12">M257</f>
        <v>101941.31578947369</v>
      </c>
      <c r="J257" s="1"/>
      <c r="K257" s="1" t="s">
        <v>25</v>
      </c>
      <c r="L257" s="1"/>
      <c r="M257" s="4">
        <f t="shared" si="11"/>
        <v>101941.31578947369</v>
      </c>
      <c r="N257" s="2">
        <v>959</v>
      </c>
    </row>
    <row r="258" spans="1:14" x14ac:dyDescent="0.4">
      <c r="A258" s="1">
        <v>100257</v>
      </c>
      <c r="B258" s="1"/>
      <c r="C258" s="1"/>
      <c r="D258" s="1"/>
      <c r="E258" s="1"/>
      <c r="F258" s="1"/>
      <c r="G258" s="1">
        <v>8</v>
      </c>
      <c r="H258" s="1">
        <v>41</v>
      </c>
      <c r="I258" s="5">
        <f t="shared" si="12"/>
        <v>97555.789473684214</v>
      </c>
      <c r="J258" s="1"/>
      <c r="K258" s="1" t="s">
        <v>25</v>
      </c>
      <c r="L258" s="1"/>
      <c r="M258" s="4">
        <f t="shared" si="11"/>
        <v>97555.789473684214</v>
      </c>
      <c r="N258" s="2">
        <v>904</v>
      </c>
    </row>
    <row r="259" spans="1:14" x14ac:dyDescent="0.4">
      <c r="A259" s="1">
        <v>100258</v>
      </c>
      <c r="B259" s="1"/>
      <c r="C259" s="1"/>
      <c r="D259" s="1"/>
      <c r="E259" s="1"/>
      <c r="F259" s="1"/>
      <c r="G259" s="1">
        <v>8.5</v>
      </c>
      <c r="H259" s="1">
        <v>42</v>
      </c>
      <c r="I259" s="5">
        <f t="shared" si="12"/>
        <v>93967.631578947374</v>
      </c>
      <c r="J259" s="1"/>
      <c r="K259" s="1" t="s">
        <v>25</v>
      </c>
      <c r="L259" s="1"/>
      <c r="M259" s="4">
        <f t="shared" si="11"/>
        <v>93967.631578947374</v>
      </c>
      <c r="N259" s="2">
        <v>859</v>
      </c>
    </row>
    <row r="260" spans="1:14" x14ac:dyDescent="0.4">
      <c r="A260" s="1">
        <v>100259</v>
      </c>
      <c r="B260" s="1"/>
      <c r="C260" s="1"/>
      <c r="D260" s="1"/>
      <c r="E260" s="1"/>
      <c r="F260" s="1"/>
      <c r="G260" s="1">
        <v>9</v>
      </c>
      <c r="H260" s="1">
        <v>42.5</v>
      </c>
      <c r="I260" s="5">
        <f t="shared" si="12"/>
        <v>105130.78947368421</v>
      </c>
      <c r="J260" s="1"/>
      <c r="K260" s="1" t="s">
        <v>25</v>
      </c>
      <c r="L260" s="1"/>
      <c r="M260" s="4">
        <f t="shared" si="11"/>
        <v>105130.78947368421</v>
      </c>
      <c r="N260" s="2">
        <v>999</v>
      </c>
    </row>
    <row r="261" spans="1:14" x14ac:dyDescent="0.4">
      <c r="A261" s="1">
        <v>100260</v>
      </c>
      <c r="B261" s="1"/>
      <c r="C261" s="1"/>
      <c r="D261" s="1"/>
      <c r="E261" s="1"/>
      <c r="F261" s="1"/>
      <c r="G261" s="1">
        <v>9.5</v>
      </c>
      <c r="H261" s="1">
        <v>43</v>
      </c>
      <c r="I261" s="5">
        <f t="shared" si="12"/>
        <v>92372.894736842107</v>
      </c>
      <c r="J261" s="1"/>
      <c r="K261" s="1" t="s">
        <v>25</v>
      </c>
      <c r="L261" s="1"/>
      <c r="M261" s="4">
        <f t="shared" si="11"/>
        <v>92372.894736842107</v>
      </c>
      <c r="N261" s="2">
        <v>839</v>
      </c>
    </row>
    <row r="262" spans="1:14" x14ac:dyDescent="0.4">
      <c r="A262" s="1">
        <v>100261</v>
      </c>
      <c r="B262" s="1"/>
      <c r="C262" s="1"/>
      <c r="D262" s="1"/>
      <c r="E262" s="1"/>
      <c r="F262" s="1"/>
      <c r="G262" s="1">
        <v>10</v>
      </c>
      <c r="H262" s="1">
        <v>44</v>
      </c>
      <c r="I262" s="5">
        <f t="shared" si="12"/>
        <v>81927.368421052641</v>
      </c>
      <c r="J262" s="1"/>
      <c r="K262" s="1" t="s">
        <v>25</v>
      </c>
      <c r="L262" s="1"/>
      <c r="M262" s="4">
        <f t="shared" si="11"/>
        <v>81927.368421052641</v>
      </c>
      <c r="N262" s="2">
        <v>708</v>
      </c>
    </row>
    <row r="263" spans="1:14" x14ac:dyDescent="0.4">
      <c r="A263" s="1">
        <v>100262</v>
      </c>
      <c r="B263" s="1"/>
      <c r="C263" s="1"/>
      <c r="D263" s="1"/>
      <c r="E263" s="1"/>
      <c r="F263" s="1"/>
      <c r="G263" s="1">
        <v>10.5</v>
      </c>
      <c r="H263" s="1">
        <v>44.5</v>
      </c>
      <c r="I263" s="5">
        <f t="shared" si="12"/>
        <v>81209.736842105267</v>
      </c>
      <c r="J263" s="1"/>
      <c r="K263" s="1" t="s">
        <v>25</v>
      </c>
      <c r="L263" s="1"/>
      <c r="M263" s="4">
        <f t="shared" si="11"/>
        <v>81209.736842105267</v>
      </c>
      <c r="N263" s="2">
        <v>699</v>
      </c>
    </row>
    <row r="264" spans="1:14" ht="160.30000000000001" x14ac:dyDescent="0.4">
      <c r="A264" s="1">
        <v>100263</v>
      </c>
      <c r="B264" s="1"/>
      <c r="C264" s="1" t="s">
        <v>94</v>
      </c>
      <c r="D264" s="1" t="s">
        <v>6</v>
      </c>
      <c r="E264" s="1" t="s">
        <v>43</v>
      </c>
      <c r="F264" s="1" t="s">
        <v>95</v>
      </c>
      <c r="G264" s="1">
        <v>6</v>
      </c>
      <c r="H264" s="1">
        <v>38.5</v>
      </c>
      <c r="I264" s="5">
        <f t="shared" si="12"/>
        <v>93170.263157894748</v>
      </c>
      <c r="J264" s="1"/>
      <c r="K264" s="1" t="s">
        <v>25</v>
      </c>
      <c r="L264" s="9" t="s">
        <v>89</v>
      </c>
      <c r="M264" s="4">
        <f t="shared" si="11"/>
        <v>93170.263157894748</v>
      </c>
      <c r="N264" s="2">
        <v>849</v>
      </c>
    </row>
    <row r="265" spans="1:14" x14ac:dyDescent="0.4">
      <c r="A265" s="1">
        <v>100264</v>
      </c>
      <c r="B265" s="1"/>
      <c r="C265" s="1"/>
      <c r="D265" s="1"/>
      <c r="E265" s="1"/>
      <c r="F265" s="1"/>
      <c r="G265" s="1">
        <v>6.5</v>
      </c>
      <c r="H265" s="1">
        <v>39</v>
      </c>
      <c r="I265" s="5">
        <f t="shared" si="12"/>
        <v>96359.736842105267</v>
      </c>
      <c r="J265" s="1"/>
      <c r="K265" s="1" t="s">
        <v>25</v>
      </c>
      <c r="L265" s="1"/>
      <c r="M265" s="4">
        <f t="shared" si="11"/>
        <v>96359.736842105267</v>
      </c>
      <c r="N265" s="2">
        <v>889</v>
      </c>
    </row>
    <row r="266" spans="1:14" x14ac:dyDescent="0.4">
      <c r="A266" s="1">
        <v>100265</v>
      </c>
      <c r="B266" s="1"/>
      <c r="C266" s="1"/>
      <c r="D266" s="1"/>
      <c r="E266" s="1"/>
      <c r="F266" s="1"/>
      <c r="G266" s="1">
        <v>7</v>
      </c>
      <c r="H266" s="1">
        <v>40</v>
      </c>
      <c r="I266" s="5">
        <f t="shared" si="12"/>
        <v>77222.894736842107</v>
      </c>
      <c r="J266" s="1"/>
      <c r="K266" s="1" t="s">
        <v>25</v>
      </c>
      <c r="L266" s="1"/>
      <c r="M266" s="4">
        <f t="shared" si="11"/>
        <v>77222.894736842107</v>
      </c>
      <c r="N266" s="2">
        <v>649</v>
      </c>
    </row>
    <row r="267" spans="1:14" x14ac:dyDescent="0.4">
      <c r="A267" s="1">
        <v>100266</v>
      </c>
      <c r="B267" s="1"/>
      <c r="C267" s="1"/>
      <c r="D267" s="1"/>
      <c r="E267" s="1"/>
      <c r="F267" s="1"/>
      <c r="G267" s="1">
        <v>7.5</v>
      </c>
      <c r="H267" s="1">
        <v>40.5</v>
      </c>
      <c r="I267" s="5">
        <f t="shared" si="12"/>
        <v>72438.68421052632</v>
      </c>
      <c r="J267" s="1"/>
      <c r="K267" s="1" t="s">
        <v>25</v>
      </c>
      <c r="L267" s="1"/>
      <c r="M267" s="4">
        <f t="shared" si="11"/>
        <v>72438.68421052632</v>
      </c>
      <c r="N267" s="2">
        <v>589</v>
      </c>
    </row>
    <row r="268" spans="1:14" x14ac:dyDescent="0.4">
      <c r="A268" s="1">
        <v>100267</v>
      </c>
      <c r="B268" s="1"/>
      <c r="C268" s="1"/>
      <c r="D268" s="1"/>
      <c r="E268" s="1"/>
      <c r="F268" s="1"/>
      <c r="G268" s="1">
        <v>8</v>
      </c>
      <c r="H268" s="1">
        <v>41</v>
      </c>
      <c r="I268" s="5">
        <f t="shared" si="12"/>
        <v>73236.052631578947</v>
      </c>
      <c r="J268" s="1"/>
      <c r="K268" s="1" t="s">
        <v>25</v>
      </c>
      <c r="L268" s="1"/>
      <c r="M268" s="4">
        <f t="shared" si="11"/>
        <v>73236.052631578947</v>
      </c>
      <c r="N268" s="2">
        <v>599</v>
      </c>
    </row>
    <row r="269" spans="1:14" x14ac:dyDescent="0.4">
      <c r="A269" s="1">
        <v>100268</v>
      </c>
      <c r="B269" s="1"/>
      <c r="C269" s="1"/>
      <c r="D269" s="1"/>
      <c r="E269" s="1"/>
      <c r="F269" s="1"/>
      <c r="G269" s="1">
        <v>8.5</v>
      </c>
      <c r="H269" s="1">
        <v>42</v>
      </c>
      <c r="I269" s="5">
        <f t="shared" si="12"/>
        <v>72438.68421052632</v>
      </c>
      <c r="J269" s="1"/>
      <c r="K269" s="1" t="s">
        <v>25</v>
      </c>
      <c r="L269" s="1"/>
      <c r="M269" s="4">
        <f t="shared" si="11"/>
        <v>72438.68421052632</v>
      </c>
      <c r="N269" s="2">
        <v>589</v>
      </c>
    </row>
    <row r="270" spans="1:14" x14ac:dyDescent="0.4">
      <c r="A270" s="1">
        <v>100269</v>
      </c>
      <c r="B270" s="1"/>
      <c r="C270" s="1"/>
      <c r="D270" s="1"/>
      <c r="E270" s="1"/>
      <c r="F270" s="1"/>
      <c r="G270" s="1">
        <v>9</v>
      </c>
      <c r="H270" s="1">
        <v>42.5</v>
      </c>
      <c r="I270" s="5">
        <f t="shared" si="12"/>
        <v>74033.421052631587</v>
      </c>
      <c r="J270" s="1"/>
      <c r="K270" s="1" t="s">
        <v>25</v>
      </c>
      <c r="L270" s="1"/>
      <c r="M270" s="4">
        <f t="shared" si="11"/>
        <v>74033.421052631587</v>
      </c>
      <c r="N270" s="2">
        <v>609</v>
      </c>
    </row>
    <row r="271" spans="1:14" x14ac:dyDescent="0.4">
      <c r="A271" s="1">
        <v>100270</v>
      </c>
      <c r="B271" s="1"/>
      <c r="C271" s="1"/>
      <c r="D271" s="1"/>
      <c r="E271" s="1"/>
      <c r="F271" s="1"/>
      <c r="G271" s="1">
        <v>9.5</v>
      </c>
      <c r="H271" s="1">
        <v>43</v>
      </c>
      <c r="I271" s="5">
        <f t="shared" si="12"/>
        <v>71641.315789473694</v>
      </c>
      <c r="J271" s="1"/>
      <c r="K271" s="1" t="s">
        <v>25</v>
      </c>
      <c r="L271" s="1"/>
      <c r="M271" s="4">
        <f t="shared" si="11"/>
        <v>71641.315789473694</v>
      </c>
      <c r="N271" s="2">
        <v>579</v>
      </c>
    </row>
    <row r="272" spans="1:14" x14ac:dyDescent="0.4">
      <c r="A272" s="1">
        <v>100271</v>
      </c>
      <c r="B272" s="1"/>
      <c r="C272" s="1"/>
      <c r="D272" s="1"/>
      <c r="E272" s="1"/>
      <c r="F272" s="1"/>
      <c r="G272" s="1">
        <v>10</v>
      </c>
      <c r="H272" s="1">
        <v>44</v>
      </c>
      <c r="I272" s="5">
        <f t="shared" si="12"/>
        <v>62790.526315789473</v>
      </c>
      <c r="J272" s="1"/>
      <c r="K272" s="1" t="s">
        <v>25</v>
      </c>
      <c r="L272" s="1"/>
      <c r="M272" s="4">
        <f t="shared" si="11"/>
        <v>62790.526315789473</v>
      </c>
      <c r="N272" s="2">
        <v>468</v>
      </c>
    </row>
    <row r="273" spans="1:14" x14ac:dyDescent="0.4">
      <c r="A273" s="1">
        <v>100272</v>
      </c>
      <c r="B273" s="1"/>
      <c r="C273" s="1"/>
      <c r="D273" s="1"/>
      <c r="E273" s="1"/>
      <c r="F273" s="1"/>
      <c r="G273" s="1">
        <v>10.5</v>
      </c>
      <c r="H273" s="1">
        <v>44.5</v>
      </c>
      <c r="I273" s="5">
        <f t="shared" si="12"/>
        <v>62790.526315789473</v>
      </c>
      <c r="J273" s="1"/>
      <c r="K273" s="1" t="s">
        <v>25</v>
      </c>
      <c r="L273" s="1"/>
      <c r="M273" s="4">
        <f t="shared" si="11"/>
        <v>62790.526315789473</v>
      </c>
      <c r="N273" s="2">
        <v>468</v>
      </c>
    </row>
    <row r="274" spans="1:14" ht="160.30000000000001" x14ac:dyDescent="0.4">
      <c r="A274" s="1">
        <v>100273</v>
      </c>
      <c r="B274" s="1"/>
      <c r="C274" s="1"/>
      <c r="D274" s="1" t="s">
        <v>6</v>
      </c>
      <c r="E274" s="1" t="s">
        <v>13</v>
      </c>
      <c r="F274" s="1" t="s">
        <v>96</v>
      </c>
      <c r="G274" s="1">
        <v>6</v>
      </c>
      <c r="H274" s="1">
        <v>38.5</v>
      </c>
      <c r="I274" s="5">
        <f t="shared" si="12"/>
        <v>72438.68421052632</v>
      </c>
      <c r="J274" s="1"/>
      <c r="K274" s="1" t="s">
        <v>25</v>
      </c>
      <c r="L274" s="9" t="s">
        <v>89</v>
      </c>
      <c r="M274" s="4">
        <f t="shared" si="11"/>
        <v>72438.68421052632</v>
      </c>
      <c r="N274" s="2">
        <v>589</v>
      </c>
    </row>
    <row r="275" spans="1:14" x14ac:dyDescent="0.4">
      <c r="A275" s="1">
        <v>100274</v>
      </c>
      <c r="B275" s="1"/>
      <c r="C275" s="1"/>
      <c r="D275" s="1"/>
      <c r="E275" s="1"/>
      <c r="F275" s="1"/>
      <c r="G275" s="1">
        <v>6.5</v>
      </c>
      <c r="H275" s="1">
        <v>39</v>
      </c>
      <c r="I275" s="5">
        <f t="shared" si="12"/>
        <v>75628.15789473684</v>
      </c>
      <c r="J275" s="1"/>
      <c r="K275" s="1" t="s">
        <v>25</v>
      </c>
      <c r="L275" s="1"/>
      <c r="M275" s="4">
        <f t="shared" si="11"/>
        <v>75628.15789473684</v>
      </c>
      <c r="N275" s="2">
        <v>629</v>
      </c>
    </row>
    <row r="276" spans="1:14" x14ac:dyDescent="0.4">
      <c r="A276" s="1">
        <v>100275</v>
      </c>
      <c r="B276" s="1"/>
      <c r="C276" s="1"/>
      <c r="D276" s="1"/>
      <c r="E276" s="1"/>
      <c r="F276" s="1"/>
      <c r="G276" s="1">
        <v>7</v>
      </c>
      <c r="H276" s="1">
        <v>40</v>
      </c>
      <c r="I276" s="5">
        <f t="shared" si="12"/>
        <v>72438.68421052632</v>
      </c>
      <c r="J276" s="1"/>
      <c r="K276" s="1" t="s">
        <v>25</v>
      </c>
      <c r="L276" s="1"/>
      <c r="M276" s="4">
        <f t="shared" si="11"/>
        <v>72438.68421052632</v>
      </c>
      <c r="N276" s="2">
        <v>589</v>
      </c>
    </row>
    <row r="277" spans="1:14" x14ac:dyDescent="0.4">
      <c r="A277" s="1">
        <v>100276</v>
      </c>
      <c r="B277" s="1"/>
      <c r="C277" s="1"/>
      <c r="D277" s="1"/>
      <c r="E277" s="1"/>
      <c r="F277" s="1"/>
      <c r="G277" s="1">
        <v>7.5</v>
      </c>
      <c r="H277" s="1">
        <v>40.5</v>
      </c>
      <c r="I277" s="5">
        <f t="shared" si="12"/>
        <v>69249.210526315786</v>
      </c>
      <c r="J277" s="1"/>
      <c r="K277" s="1" t="s">
        <v>25</v>
      </c>
      <c r="L277" s="1"/>
      <c r="M277" s="4">
        <f t="shared" si="11"/>
        <v>69249.210526315786</v>
      </c>
      <c r="N277" s="2">
        <v>549</v>
      </c>
    </row>
    <row r="278" spans="1:14" x14ac:dyDescent="0.4">
      <c r="A278" s="1">
        <v>100277</v>
      </c>
      <c r="B278" s="1"/>
      <c r="C278" s="1"/>
      <c r="D278" s="1"/>
      <c r="E278" s="1"/>
      <c r="F278" s="1"/>
      <c r="G278" s="1">
        <v>8</v>
      </c>
      <c r="H278" s="1">
        <v>41</v>
      </c>
      <c r="I278" s="5">
        <f t="shared" si="12"/>
        <v>66059.736842105267</v>
      </c>
      <c r="J278" s="1"/>
      <c r="K278" s="1" t="s">
        <v>25</v>
      </c>
      <c r="L278" s="1"/>
      <c r="M278" s="4">
        <f t="shared" si="11"/>
        <v>66059.736842105267</v>
      </c>
      <c r="N278" s="2">
        <v>509</v>
      </c>
    </row>
    <row r="279" spans="1:14" x14ac:dyDescent="0.4">
      <c r="A279" s="1">
        <v>100278</v>
      </c>
      <c r="B279" s="1"/>
      <c r="C279" s="1"/>
      <c r="D279" s="1"/>
      <c r="E279" s="1"/>
      <c r="F279" s="1"/>
      <c r="G279" s="1">
        <v>8.5</v>
      </c>
      <c r="H279" s="1">
        <v>42</v>
      </c>
      <c r="I279" s="5">
        <f t="shared" si="12"/>
        <v>68451.84210526316</v>
      </c>
      <c r="J279" s="1"/>
      <c r="K279" s="1" t="s">
        <v>25</v>
      </c>
      <c r="L279" s="1"/>
      <c r="M279" s="4">
        <f t="shared" si="11"/>
        <v>68451.84210526316</v>
      </c>
      <c r="N279" s="2">
        <v>539</v>
      </c>
    </row>
    <row r="280" spans="1:14" x14ac:dyDescent="0.4">
      <c r="A280" s="1">
        <v>100279</v>
      </c>
      <c r="B280" s="1"/>
      <c r="C280" s="1"/>
      <c r="D280" s="1"/>
      <c r="E280" s="1"/>
      <c r="F280" s="1"/>
      <c r="G280" s="1">
        <v>9</v>
      </c>
      <c r="H280" s="1">
        <v>42.5</v>
      </c>
      <c r="I280" s="5">
        <f t="shared" si="12"/>
        <v>65262.368421052633</v>
      </c>
      <c r="J280" s="1"/>
      <c r="K280" s="1" t="s">
        <v>25</v>
      </c>
      <c r="L280" s="1"/>
      <c r="M280" s="4">
        <f t="shared" si="11"/>
        <v>65262.368421052633</v>
      </c>
      <c r="N280" s="2">
        <v>499</v>
      </c>
    </row>
    <row r="281" spans="1:14" x14ac:dyDescent="0.4">
      <c r="A281" s="1">
        <v>100280</v>
      </c>
      <c r="B281" s="1"/>
      <c r="C281" s="1"/>
      <c r="D281" s="1"/>
      <c r="E281" s="1"/>
      <c r="F281" s="1"/>
      <c r="G281" s="1">
        <v>9.5</v>
      </c>
      <c r="H281" s="1">
        <v>43</v>
      </c>
      <c r="I281" s="5">
        <f t="shared" si="12"/>
        <v>80412.368421052641</v>
      </c>
      <c r="J281" s="1"/>
      <c r="K281" s="1" t="s">
        <v>25</v>
      </c>
      <c r="L281" s="1"/>
      <c r="M281" s="4">
        <f t="shared" si="11"/>
        <v>80412.368421052641</v>
      </c>
      <c r="N281" s="2">
        <v>689</v>
      </c>
    </row>
    <row r="282" spans="1:14" x14ac:dyDescent="0.4">
      <c r="A282" s="1">
        <v>100281</v>
      </c>
      <c r="B282" s="1"/>
      <c r="C282" s="1"/>
      <c r="D282" s="1"/>
      <c r="E282" s="1"/>
      <c r="F282" s="1"/>
      <c r="G282" s="1">
        <v>10</v>
      </c>
      <c r="H282" s="1">
        <v>44</v>
      </c>
      <c r="I282" s="5">
        <f t="shared" si="12"/>
        <v>62790.526315789473</v>
      </c>
      <c r="J282" s="1"/>
      <c r="K282" s="1" t="s">
        <v>25</v>
      </c>
      <c r="L282" s="1"/>
      <c r="M282" s="4">
        <f t="shared" si="11"/>
        <v>62790.526315789473</v>
      </c>
      <c r="N282" s="2">
        <v>468</v>
      </c>
    </row>
    <row r="283" spans="1:14" x14ac:dyDescent="0.4">
      <c r="A283" s="1">
        <v>100282</v>
      </c>
      <c r="B283" s="1"/>
      <c r="C283" s="1"/>
      <c r="D283" s="1"/>
      <c r="E283" s="1"/>
      <c r="F283" s="1"/>
      <c r="G283" s="1">
        <v>10.5</v>
      </c>
      <c r="H283" s="1">
        <v>44.5</v>
      </c>
      <c r="I283" s="5">
        <f t="shared" si="12"/>
        <v>61036.315789473687</v>
      </c>
      <c r="J283" s="1"/>
      <c r="K283" s="1" t="s">
        <v>25</v>
      </c>
      <c r="L283" s="1"/>
      <c r="M283" s="4">
        <f t="shared" si="11"/>
        <v>61036.315789473687</v>
      </c>
      <c r="N283" s="2">
        <v>446</v>
      </c>
    </row>
    <row r="284" spans="1:14" ht="160.30000000000001" x14ac:dyDescent="0.4">
      <c r="A284" s="1">
        <v>100283</v>
      </c>
      <c r="B284" s="1"/>
      <c r="C284" s="1"/>
      <c r="D284" s="1" t="s">
        <v>6</v>
      </c>
      <c r="E284" s="1" t="s">
        <v>86</v>
      </c>
      <c r="F284" s="1" t="s">
        <v>97</v>
      </c>
      <c r="G284" s="1">
        <v>6</v>
      </c>
      <c r="H284" s="1">
        <v>38.5</v>
      </c>
      <c r="I284" s="5">
        <f t="shared" si="12"/>
        <v>74033.421052631587</v>
      </c>
      <c r="J284" s="1"/>
      <c r="K284" s="1" t="s">
        <v>25</v>
      </c>
      <c r="L284" s="9" t="s">
        <v>89</v>
      </c>
      <c r="M284" s="4">
        <f t="shared" si="11"/>
        <v>74033.421052631587</v>
      </c>
      <c r="N284" s="2">
        <v>609</v>
      </c>
    </row>
    <row r="285" spans="1:14" x14ac:dyDescent="0.4">
      <c r="A285" s="1">
        <v>100284</v>
      </c>
      <c r="B285" s="1"/>
      <c r="C285" s="1"/>
      <c r="D285" s="1"/>
      <c r="E285" s="1"/>
      <c r="F285" s="1"/>
      <c r="G285" s="1">
        <v>6.5</v>
      </c>
      <c r="H285" s="1">
        <v>39</v>
      </c>
      <c r="I285" s="5">
        <f t="shared" si="12"/>
        <v>73236.052631578947</v>
      </c>
      <c r="J285" s="1"/>
      <c r="K285" s="1" t="s">
        <v>25</v>
      </c>
      <c r="L285" s="1"/>
      <c r="M285" s="4">
        <f t="shared" si="11"/>
        <v>73236.052631578947</v>
      </c>
      <c r="N285" s="2">
        <v>599</v>
      </c>
    </row>
    <row r="286" spans="1:14" x14ac:dyDescent="0.4">
      <c r="A286" s="1">
        <v>100285</v>
      </c>
      <c r="B286" s="1"/>
      <c r="C286" s="1"/>
      <c r="D286" s="1"/>
      <c r="E286" s="1"/>
      <c r="F286" s="1"/>
      <c r="G286" s="1">
        <v>7</v>
      </c>
      <c r="H286" s="1">
        <v>40</v>
      </c>
      <c r="I286" s="5">
        <f t="shared" si="12"/>
        <v>83601.84210526316</v>
      </c>
      <c r="J286" s="1"/>
      <c r="K286" s="1" t="s">
        <v>25</v>
      </c>
      <c r="L286" s="1"/>
      <c r="M286" s="4">
        <f t="shared" si="11"/>
        <v>83601.84210526316</v>
      </c>
      <c r="N286" s="2">
        <v>729</v>
      </c>
    </row>
    <row r="287" spans="1:14" x14ac:dyDescent="0.4">
      <c r="A287" s="11">
        <v>100286</v>
      </c>
      <c r="B287" s="1"/>
      <c r="C287" s="1"/>
      <c r="D287" s="1"/>
      <c r="E287" s="1"/>
      <c r="F287" s="1"/>
      <c r="G287" s="1">
        <v>7.5</v>
      </c>
      <c r="H287" s="1">
        <v>40.5</v>
      </c>
      <c r="I287" s="5">
        <f t="shared" si="12"/>
        <v>74033.421052631587</v>
      </c>
      <c r="J287" s="1"/>
      <c r="K287" s="1" t="s">
        <v>25</v>
      </c>
      <c r="L287" s="1"/>
      <c r="M287" s="4">
        <f t="shared" ref="M287:M339" si="13">(N287*75+N287*75*0.01+15000+4200+5000)/0.95</f>
        <v>74033.421052631587</v>
      </c>
      <c r="N287" s="2">
        <v>609</v>
      </c>
    </row>
    <row r="288" spans="1:14" x14ac:dyDescent="0.4">
      <c r="A288" s="1">
        <v>100287</v>
      </c>
      <c r="B288" s="1"/>
      <c r="C288" s="1"/>
      <c r="D288" s="1"/>
      <c r="E288" s="1"/>
      <c r="F288" s="1"/>
      <c r="G288" s="1">
        <v>8</v>
      </c>
      <c r="H288" s="1">
        <v>41</v>
      </c>
      <c r="I288" s="5">
        <f t="shared" si="12"/>
        <v>70046.578947368427</v>
      </c>
      <c r="J288" s="1"/>
      <c r="K288" s="1" t="s">
        <v>25</v>
      </c>
      <c r="L288" s="1"/>
      <c r="M288" s="4">
        <f t="shared" si="13"/>
        <v>70046.578947368427</v>
      </c>
      <c r="N288" s="2">
        <v>559</v>
      </c>
    </row>
    <row r="289" spans="1:14" x14ac:dyDescent="0.4">
      <c r="A289" s="1">
        <v>100288</v>
      </c>
      <c r="B289" s="1"/>
      <c r="C289" s="1"/>
      <c r="D289" s="1"/>
      <c r="E289" s="1"/>
      <c r="F289" s="1"/>
      <c r="G289" s="1">
        <v>8.5</v>
      </c>
      <c r="H289" s="1">
        <v>42</v>
      </c>
      <c r="I289" s="5">
        <f t="shared" si="12"/>
        <v>71641.315789473694</v>
      </c>
      <c r="J289" s="1"/>
      <c r="K289" s="1" t="s">
        <v>25</v>
      </c>
      <c r="L289" s="1"/>
      <c r="M289" s="4">
        <f t="shared" si="13"/>
        <v>71641.315789473694</v>
      </c>
      <c r="N289" s="2">
        <v>579</v>
      </c>
    </row>
    <row r="290" spans="1:14" x14ac:dyDescent="0.4">
      <c r="A290" s="1">
        <v>100289</v>
      </c>
      <c r="B290" s="1"/>
      <c r="C290" s="1"/>
      <c r="D290" s="1"/>
      <c r="E290" s="1"/>
      <c r="F290" s="1"/>
      <c r="G290" s="1">
        <v>9</v>
      </c>
      <c r="H290" s="1">
        <v>42.5</v>
      </c>
      <c r="I290" s="5">
        <f t="shared" si="12"/>
        <v>73236.052631578947</v>
      </c>
      <c r="J290" s="1"/>
      <c r="K290" s="1" t="s">
        <v>25</v>
      </c>
      <c r="L290" s="1"/>
      <c r="M290" s="4">
        <f t="shared" si="13"/>
        <v>73236.052631578947</v>
      </c>
      <c r="N290" s="2">
        <v>599</v>
      </c>
    </row>
    <row r="291" spans="1:14" x14ac:dyDescent="0.4">
      <c r="A291" s="11">
        <v>100290</v>
      </c>
      <c r="B291" s="1"/>
      <c r="C291" s="1"/>
      <c r="D291" s="1"/>
      <c r="E291" s="1"/>
      <c r="F291" s="1"/>
      <c r="G291" s="1">
        <v>9.5</v>
      </c>
      <c r="H291" s="1">
        <v>43</v>
      </c>
      <c r="I291" s="5">
        <f>M291</f>
        <v>85196.578947368427</v>
      </c>
      <c r="J291" s="1"/>
      <c r="K291" s="1" t="s">
        <v>25</v>
      </c>
      <c r="L291" s="1"/>
      <c r="M291" s="4">
        <f t="shared" si="13"/>
        <v>85196.578947368427</v>
      </c>
      <c r="N291" s="2">
        <v>749</v>
      </c>
    </row>
    <row r="292" spans="1:14" x14ac:dyDescent="0.4">
      <c r="A292" s="1">
        <v>100291</v>
      </c>
      <c r="B292" s="1"/>
      <c r="C292" s="1"/>
      <c r="D292" s="1"/>
      <c r="E292" s="1"/>
      <c r="F292" s="1"/>
      <c r="G292" s="1">
        <v>10</v>
      </c>
      <c r="H292" s="1">
        <v>44</v>
      </c>
      <c r="I292" s="5">
        <f t="shared" ref="I292:I339" si="14">M292</f>
        <v>74830.789473684214</v>
      </c>
      <c r="J292" s="1"/>
      <c r="K292" s="1" t="s">
        <v>25</v>
      </c>
      <c r="L292" s="1"/>
      <c r="M292" s="4">
        <f t="shared" si="13"/>
        <v>74830.789473684214</v>
      </c>
      <c r="N292" s="2">
        <v>619</v>
      </c>
    </row>
    <row r="293" spans="1:14" x14ac:dyDescent="0.4">
      <c r="A293" s="1">
        <v>100292</v>
      </c>
      <c r="B293" s="1"/>
      <c r="C293" s="1"/>
      <c r="D293" s="1"/>
      <c r="E293" s="1"/>
      <c r="F293" s="1"/>
      <c r="G293" s="1">
        <v>10.5</v>
      </c>
      <c r="H293" s="1">
        <v>44.5</v>
      </c>
      <c r="I293" s="5">
        <f t="shared" si="14"/>
        <v>85196.578947368427</v>
      </c>
      <c r="J293" s="1"/>
      <c r="K293" s="1" t="s">
        <v>25</v>
      </c>
      <c r="L293" s="1"/>
      <c r="M293" s="4">
        <f t="shared" si="13"/>
        <v>85196.578947368427</v>
      </c>
      <c r="N293" s="2">
        <v>749</v>
      </c>
    </row>
    <row r="294" spans="1:14" ht="160.30000000000001" x14ac:dyDescent="0.4">
      <c r="A294" s="1">
        <v>100293</v>
      </c>
      <c r="B294" s="1"/>
      <c r="C294" s="1"/>
      <c r="D294" s="1" t="s">
        <v>6</v>
      </c>
      <c r="E294" s="1" t="s">
        <v>92</v>
      </c>
      <c r="F294" s="1" t="s">
        <v>98</v>
      </c>
      <c r="G294" s="1">
        <v>6</v>
      </c>
      <c r="H294" s="1">
        <v>38.5</v>
      </c>
      <c r="I294" s="5">
        <f t="shared" si="14"/>
        <v>85196.578947368427</v>
      </c>
      <c r="J294" s="1"/>
      <c r="K294" s="1" t="s">
        <v>32</v>
      </c>
      <c r="L294" s="9" t="s">
        <v>89</v>
      </c>
      <c r="M294" s="4">
        <f t="shared" si="13"/>
        <v>85196.578947368427</v>
      </c>
      <c r="N294" s="2">
        <v>749</v>
      </c>
    </row>
    <row r="295" spans="1:14" x14ac:dyDescent="0.4">
      <c r="A295" s="1">
        <v>100294</v>
      </c>
      <c r="B295" s="1"/>
      <c r="C295" s="1"/>
      <c r="D295" s="1"/>
      <c r="E295" s="1"/>
      <c r="F295" s="1"/>
      <c r="G295" s="1">
        <v>6.5</v>
      </c>
      <c r="H295" s="1">
        <v>39</v>
      </c>
      <c r="I295" s="5">
        <f t="shared" si="14"/>
        <v>160946.57894736843</v>
      </c>
      <c r="J295" s="1"/>
      <c r="K295" s="1" t="s">
        <v>25</v>
      </c>
      <c r="L295" s="1"/>
      <c r="M295" s="4">
        <f t="shared" si="13"/>
        <v>160946.57894736843</v>
      </c>
      <c r="N295" s="2">
        <v>1699</v>
      </c>
    </row>
    <row r="296" spans="1:14" x14ac:dyDescent="0.4">
      <c r="A296" s="1">
        <v>100295</v>
      </c>
      <c r="B296" s="1"/>
      <c r="C296" s="1"/>
      <c r="D296" s="1"/>
      <c r="E296" s="1"/>
      <c r="F296" s="1"/>
      <c r="G296" s="1">
        <v>7</v>
      </c>
      <c r="H296" s="1">
        <v>40</v>
      </c>
      <c r="I296" s="5">
        <f t="shared" si="14"/>
        <v>129051.84210526316</v>
      </c>
      <c r="J296" s="1"/>
      <c r="K296" s="1" t="s">
        <v>25</v>
      </c>
      <c r="L296" s="1"/>
      <c r="M296" s="4">
        <f t="shared" si="13"/>
        <v>129051.84210526316</v>
      </c>
      <c r="N296" s="2">
        <v>1299</v>
      </c>
    </row>
    <row r="297" spans="1:14" x14ac:dyDescent="0.4">
      <c r="A297" s="1">
        <v>100296</v>
      </c>
      <c r="B297" s="1"/>
      <c r="C297" s="1"/>
      <c r="D297" s="1"/>
      <c r="E297" s="1"/>
      <c r="F297" s="1"/>
      <c r="G297" s="1">
        <v>7.5</v>
      </c>
      <c r="H297" s="1">
        <v>40.5</v>
      </c>
      <c r="I297" s="5">
        <f t="shared" si="14"/>
        <v>95562.368421052641</v>
      </c>
      <c r="J297" s="1"/>
      <c r="K297" s="1" t="s">
        <v>25</v>
      </c>
      <c r="L297" s="1"/>
      <c r="M297" s="4">
        <f t="shared" si="13"/>
        <v>95562.368421052641</v>
      </c>
      <c r="N297" s="2">
        <v>879</v>
      </c>
    </row>
    <row r="298" spans="1:14" x14ac:dyDescent="0.4">
      <c r="A298" s="1">
        <v>100297</v>
      </c>
      <c r="B298" s="1"/>
      <c r="C298" s="1"/>
      <c r="D298" s="1"/>
      <c r="E298" s="1"/>
      <c r="F298" s="1"/>
      <c r="G298" s="1">
        <v>8</v>
      </c>
      <c r="H298" s="1">
        <v>41</v>
      </c>
      <c r="I298" s="5">
        <f t="shared" si="14"/>
        <v>93170.263157894748</v>
      </c>
      <c r="J298" s="1"/>
      <c r="K298" s="1" t="s">
        <v>25</v>
      </c>
      <c r="L298" s="1"/>
      <c r="M298" s="4">
        <f t="shared" si="13"/>
        <v>93170.263157894748</v>
      </c>
      <c r="N298" s="2">
        <v>849</v>
      </c>
    </row>
    <row r="299" spans="1:14" x14ac:dyDescent="0.4">
      <c r="A299" s="1">
        <v>100298</v>
      </c>
      <c r="B299" s="1"/>
      <c r="C299" s="1"/>
      <c r="D299" s="1"/>
      <c r="E299" s="1"/>
      <c r="F299" s="1"/>
      <c r="G299" s="1">
        <v>8.5</v>
      </c>
      <c r="H299" s="1">
        <v>42</v>
      </c>
      <c r="I299" s="5">
        <f t="shared" si="14"/>
        <v>83601.84210526316</v>
      </c>
      <c r="J299" s="1"/>
      <c r="K299" s="1" t="s">
        <v>25</v>
      </c>
      <c r="L299" s="1"/>
      <c r="M299" s="4">
        <f t="shared" si="13"/>
        <v>83601.84210526316</v>
      </c>
      <c r="N299" s="2">
        <v>729</v>
      </c>
    </row>
    <row r="300" spans="1:14" x14ac:dyDescent="0.4">
      <c r="A300" s="1">
        <v>100299</v>
      </c>
      <c r="B300" s="1"/>
      <c r="C300" s="1"/>
      <c r="D300" s="1"/>
      <c r="E300" s="1"/>
      <c r="F300" s="1"/>
      <c r="G300" s="1">
        <v>9</v>
      </c>
      <c r="H300" s="1">
        <v>42.5</v>
      </c>
      <c r="I300" s="5">
        <f t="shared" si="14"/>
        <v>88386.052631578947</v>
      </c>
      <c r="J300" s="1"/>
      <c r="K300" s="1" t="s">
        <v>25</v>
      </c>
      <c r="L300" s="1"/>
      <c r="M300" s="4">
        <f t="shared" si="13"/>
        <v>88386.052631578947</v>
      </c>
      <c r="N300" s="2">
        <v>789</v>
      </c>
    </row>
    <row r="301" spans="1:14" x14ac:dyDescent="0.4">
      <c r="A301" s="1">
        <v>100300</v>
      </c>
      <c r="B301" s="1"/>
      <c r="C301" s="1"/>
      <c r="D301" s="1"/>
      <c r="E301" s="1"/>
      <c r="F301" s="1"/>
      <c r="G301" s="1">
        <v>9.5</v>
      </c>
      <c r="H301" s="1">
        <v>43</v>
      </c>
      <c r="I301" s="5">
        <f t="shared" si="14"/>
        <v>81209.736842105267</v>
      </c>
      <c r="J301" s="1"/>
      <c r="K301" s="1" t="s">
        <v>25</v>
      </c>
      <c r="L301" s="1"/>
      <c r="M301" s="4">
        <f t="shared" si="13"/>
        <v>81209.736842105267</v>
      </c>
      <c r="N301" s="2">
        <v>699</v>
      </c>
    </row>
    <row r="302" spans="1:14" x14ac:dyDescent="0.4">
      <c r="A302" s="1">
        <v>100301</v>
      </c>
      <c r="B302" s="1"/>
      <c r="C302" s="1"/>
      <c r="D302" s="1"/>
      <c r="E302" s="1"/>
      <c r="F302" s="1"/>
      <c r="G302" s="1">
        <v>10</v>
      </c>
      <c r="H302" s="1">
        <v>44</v>
      </c>
      <c r="I302" s="5">
        <f t="shared" si="14"/>
        <v>81209.736842105267</v>
      </c>
      <c r="J302" s="1"/>
      <c r="K302" s="1" t="s">
        <v>25</v>
      </c>
      <c r="L302" s="1"/>
      <c r="M302" s="4">
        <f t="shared" si="13"/>
        <v>81209.736842105267</v>
      </c>
      <c r="N302" s="2">
        <v>699</v>
      </c>
    </row>
    <row r="303" spans="1:14" x14ac:dyDescent="0.4">
      <c r="A303" s="1">
        <v>100302</v>
      </c>
      <c r="B303" s="1"/>
      <c r="C303" s="1"/>
      <c r="D303" s="1"/>
      <c r="E303" s="1"/>
      <c r="F303" s="1"/>
      <c r="G303" s="1">
        <v>10.5</v>
      </c>
      <c r="H303" s="1">
        <v>44.5</v>
      </c>
      <c r="I303" s="5">
        <f t="shared" si="14"/>
        <v>68930.263157894733</v>
      </c>
      <c r="J303" s="1"/>
      <c r="K303" s="1" t="s">
        <v>25</v>
      </c>
      <c r="L303" s="1"/>
      <c r="M303" s="4">
        <f t="shared" si="13"/>
        <v>68930.263157894733</v>
      </c>
      <c r="N303" s="2">
        <v>545</v>
      </c>
    </row>
    <row r="304" spans="1:14" ht="160.30000000000001" x14ac:dyDescent="0.4">
      <c r="A304" s="1">
        <v>100303</v>
      </c>
      <c r="B304" s="1"/>
      <c r="C304" s="1"/>
      <c r="D304" s="1" t="s">
        <v>6</v>
      </c>
      <c r="E304" s="1" t="s">
        <v>99</v>
      </c>
      <c r="F304" s="1" t="s">
        <v>100</v>
      </c>
      <c r="G304" s="1">
        <v>6</v>
      </c>
      <c r="H304" s="1">
        <v>38.5</v>
      </c>
      <c r="I304" s="5">
        <f t="shared" si="14"/>
        <v>109915</v>
      </c>
      <c r="J304" s="1"/>
      <c r="K304" s="1" t="s">
        <v>25</v>
      </c>
      <c r="L304" s="9" t="s">
        <v>89</v>
      </c>
      <c r="M304" s="4">
        <f t="shared" si="13"/>
        <v>109915</v>
      </c>
      <c r="N304" s="2">
        <v>1059</v>
      </c>
    </row>
    <row r="305" spans="1:14" x14ac:dyDescent="0.4">
      <c r="A305" s="1">
        <v>100304</v>
      </c>
      <c r="B305" s="1"/>
      <c r="C305" s="1"/>
      <c r="D305" s="1"/>
      <c r="E305" s="1"/>
      <c r="F305" s="1"/>
      <c r="G305" s="1">
        <v>6.5</v>
      </c>
      <c r="H305" s="1">
        <v>39</v>
      </c>
      <c r="I305" s="5">
        <f t="shared" si="14"/>
        <v>104333.42105263159</v>
      </c>
      <c r="J305" s="1"/>
      <c r="K305" s="1" t="s">
        <v>25</v>
      </c>
      <c r="L305" s="1"/>
      <c r="M305" s="4">
        <f t="shared" si="13"/>
        <v>104333.42105263159</v>
      </c>
      <c r="N305" s="2">
        <v>989</v>
      </c>
    </row>
    <row r="306" spans="1:14" x14ac:dyDescent="0.4">
      <c r="A306" s="1">
        <v>100305</v>
      </c>
      <c r="B306" s="1"/>
      <c r="C306" s="1"/>
      <c r="D306" s="1"/>
      <c r="E306" s="1"/>
      <c r="F306" s="1"/>
      <c r="G306" s="1">
        <v>7</v>
      </c>
      <c r="H306" s="1">
        <v>40</v>
      </c>
      <c r="I306" s="5">
        <f t="shared" si="14"/>
        <v>84399.210526315786</v>
      </c>
      <c r="J306" s="1"/>
      <c r="K306" s="1" t="s">
        <v>25</v>
      </c>
      <c r="L306" s="1"/>
      <c r="M306" s="4">
        <f t="shared" si="13"/>
        <v>84399.210526315786</v>
      </c>
      <c r="N306" s="2">
        <v>739</v>
      </c>
    </row>
    <row r="307" spans="1:14" x14ac:dyDescent="0.4">
      <c r="A307" s="1">
        <v>100306</v>
      </c>
      <c r="B307" s="1"/>
      <c r="C307" s="1"/>
      <c r="D307" s="1"/>
      <c r="E307" s="1"/>
      <c r="F307" s="1"/>
      <c r="G307" s="1">
        <v>7.5</v>
      </c>
      <c r="H307" s="1">
        <v>40.5</v>
      </c>
      <c r="I307" s="5">
        <f t="shared" si="14"/>
        <v>76425.526315789481</v>
      </c>
      <c r="J307" s="1"/>
      <c r="K307" s="1" t="s">
        <v>25</v>
      </c>
      <c r="L307" s="1"/>
      <c r="M307" s="4">
        <f t="shared" si="13"/>
        <v>76425.526315789481</v>
      </c>
      <c r="N307" s="2">
        <v>639</v>
      </c>
    </row>
    <row r="308" spans="1:14" x14ac:dyDescent="0.4">
      <c r="A308" s="1">
        <v>100307</v>
      </c>
      <c r="B308" s="1"/>
      <c r="C308" s="1"/>
      <c r="D308" s="1"/>
      <c r="E308" s="1"/>
      <c r="F308" s="1"/>
      <c r="G308" s="1">
        <v>8</v>
      </c>
      <c r="H308" s="1">
        <v>41</v>
      </c>
      <c r="I308" s="5">
        <f t="shared" si="14"/>
        <v>70046.578947368427</v>
      </c>
      <c r="J308" s="1"/>
      <c r="K308" s="1" t="s">
        <v>25</v>
      </c>
      <c r="L308" s="1"/>
      <c r="M308" s="4">
        <f t="shared" si="13"/>
        <v>70046.578947368427</v>
      </c>
      <c r="N308" s="2">
        <v>559</v>
      </c>
    </row>
    <row r="309" spans="1:14" x14ac:dyDescent="0.4">
      <c r="A309" s="1">
        <v>100308</v>
      </c>
      <c r="B309" s="1"/>
      <c r="C309" s="1"/>
      <c r="D309" s="1"/>
      <c r="E309" s="1"/>
      <c r="F309" s="1"/>
      <c r="G309" s="1">
        <v>8.5</v>
      </c>
      <c r="H309" s="1">
        <v>42</v>
      </c>
      <c r="I309" s="5">
        <f t="shared" si="14"/>
        <v>67654.473684210534</v>
      </c>
      <c r="J309" s="1"/>
      <c r="K309" s="1" t="s">
        <v>25</v>
      </c>
      <c r="L309" s="1"/>
      <c r="M309" s="4">
        <f t="shared" si="13"/>
        <v>67654.473684210534</v>
      </c>
      <c r="N309" s="2">
        <v>529</v>
      </c>
    </row>
    <row r="310" spans="1:14" x14ac:dyDescent="0.4">
      <c r="A310" s="1">
        <v>100309</v>
      </c>
      <c r="B310" s="1"/>
      <c r="C310" s="1"/>
      <c r="D310" s="1"/>
      <c r="E310" s="1"/>
      <c r="F310" s="1"/>
      <c r="G310" s="1">
        <v>9</v>
      </c>
      <c r="H310" s="1">
        <v>42.5</v>
      </c>
      <c r="I310" s="5">
        <f t="shared" si="14"/>
        <v>70046.578947368427</v>
      </c>
      <c r="J310" s="1"/>
      <c r="K310" s="1" t="s">
        <v>25</v>
      </c>
      <c r="L310" s="1"/>
      <c r="M310" s="4">
        <f t="shared" si="13"/>
        <v>70046.578947368427</v>
      </c>
      <c r="N310" s="2">
        <v>559</v>
      </c>
    </row>
    <row r="311" spans="1:14" x14ac:dyDescent="0.4">
      <c r="A311" s="1">
        <v>100310</v>
      </c>
      <c r="B311" s="1"/>
      <c r="C311" s="1"/>
      <c r="D311" s="1"/>
      <c r="E311" s="1"/>
      <c r="F311" s="1"/>
      <c r="G311" s="1">
        <v>9.5</v>
      </c>
      <c r="H311" s="1">
        <v>43</v>
      </c>
      <c r="I311" s="5">
        <f t="shared" si="14"/>
        <v>70843.947368421053</v>
      </c>
      <c r="J311" s="1"/>
      <c r="K311" s="1" t="s">
        <v>25</v>
      </c>
      <c r="L311" s="1"/>
      <c r="M311" s="4">
        <f t="shared" si="13"/>
        <v>70843.947368421053</v>
      </c>
      <c r="N311" s="2">
        <v>569</v>
      </c>
    </row>
    <row r="312" spans="1:14" x14ac:dyDescent="0.4">
      <c r="A312" s="1">
        <v>100311</v>
      </c>
      <c r="B312" s="1"/>
      <c r="C312" s="1"/>
      <c r="D312" s="1"/>
      <c r="E312" s="1"/>
      <c r="F312" s="1"/>
      <c r="G312" s="1">
        <v>10</v>
      </c>
      <c r="H312" s="1">
        <v>44</v>
      </c>
      <c r="I312" s="5">
        <f t="shared" si="14"/>
        <v>80412.368421052641</v>
      </c>
      <c r="J312" s="1"/>
      <c r="K312" s="1" t="s">
        <v>25</v>
      </c>
      <c r="L312" s="1"/>
      <c r="M312" s="4">
        <f t="shared" si="13"/>
        <v>80412.368421052641</v>
      </c>
      <c r="N312" s="2">
        <v>689</v>
      </c>
    </row>
    <row r="313" spans="1:14" x14ac:dyDescent="0.4">
      <c r="A313" s="1">
        <v>100312</v>
      </c>
      <c r="B313" s="1"/>
      <c r="C313" s="1"/>
      <c r="D313" s="1"/>
      <c r="E313" s="1"/>
      <c r="F313" s="1"/>
      <c r="G313" s="1">
        <v>10.5</v>
      </c>
      <c r="H313" s="1">
        <v>44.5</v>
      </c>
      <c r="I313" s="5">
        <f t="shared" si="14"/>
        <v>66857.105263157893</v>
      </c>
      <c r="J313" s="1"/>
      <c r="K313" s="1" t="s">
        <v>25</v>
      </c>
      <c r="L313" s="1"/>
      <c r="M313" s="4">
        <f t="shared" si="13"/>
        <v>66857.105263157893</v>
      </c>
      <c r="N313" s="2">
        <v>519</v>
      </c>
    </row>
    <row r="314" spans="1:14" ht="247.75" x14ac:dyDescent="0.4">
      <c r="A314" s="1">
        <v>100313</v>
      </c>
      <c r="B314" s="1"/>
      <c r="C314" s="1" t="s">
        <v>101</v>
      </c>
      <c r="D314" s="1" t="s">
        <v>57</v>
      </c>
      <c r="E314" s="1" t="s">
        <v>102</v>
      </c>
      <c r="F314" s="1" t="s">
        <v>103</v>
      </c>
      <c r="G314" s="1">
        <v>4</v>
      </c>
      <c r="H314" s="1">
        <v>34.5</v>
      </c>
      <c r="I314" s="5">
        <f t="shared" si="14"/>
        <v>66857.105263157893</v>
      </c>
      <c r="J314" s="1"/>
      <c r="K314" s="1" t="s">
        <v>32</v>
      </c>
      <c r="L314" s="9" t="s">
        <v>105</v>
      </c>
      <c r="M314" s="4">
        <f t="shared" si="13"/>
        <v>66857.105263157893</v>
      </c>
      <c r="N314" s="2">
        <v>519</v>
      </c>
    </row>
    <row r="315" spans="1:14" x14ac:dyDescent="0.4">
      <c r="A315" s="1">
        <v>100314</v>
      </c>
      <c r="B315" s="1"/>
      <c r="C315" s="1"/>
      <c r="D315" s="1"/>
      <c r="E315" s="1"/>
      <c r="F315" s="1"/>
      <c r="G315" s="1">
        <v>4.5</v>
      </c>
      <c r="H315" s="1">
        <v>35</v>
      </c>
      <c r="I315" s="5">
        <f t="shared" si="14"/>
        <v>66857.105263157893</v>
      </c>
      <c r="J315" s="1"/>
      <c r="K315" s="1" t="s">
        <v>32</v>
      </c>
      <c r="L315" s="1"/>
      <c r="M315" s="4">
        <f t="shared" si="13"/>
        <v>66857.105263157893</v>
      </c>
      <c r="N315" s="2">
        <v>519</v>
      </c>
    </row>
    <row r="316" spans="1:14" x14ac:dyDescent="0.4">
      <c r="A316" s="1">
        <v>100315</v>
      </c>
      <c r="B316" s="1"/>
      <c r="C316" s="1"/>
      <c r="D316" s="1"/>
      <c r="E316" s="1"/>
      <c r="F316" s="1"/>
      <c r="G316" s="1">
        <v>5</v>
      </c>
      <c r="H316" s="1">
        <v>35.5</v>
      </c>
      <c r="I316" s="5">
        <f t="shared" si="14"/>
        <v>71641.315789473694</v>
      </c>
      <c r="J316" s="1"/>
      <c r="K316" s="1" t="s">
        <v>32</v>
      </c>
      <c r="L316" s="1"/>
      <c r="M316" s="4">
        <f t="shared" si="13"/>
        <v>71641.315789473694</v>
      </c>
      <c r="N316" s="2">
        <v>579</v>
      </c>
    </row>
    <row r="317" spans="1:14" x14ac:dyDescent="0.4">
      <c r="A317" s="1">
        <v>100316</v>
      </c>
      <c r="B317" s="1"/>
      <c r="C317" s="1"/>
      <c r="D317" s="1"/>
      <c r="E317" s="1"/>
      <c r="F317" s="1"/>
      <c r="G317" s="1">
        <v>5.5</v>
      </c>
      <c r="H317" s="1">
        <v>36</v>
      </c>
      <c r="I317" s="5">
        <f t="shared" si="14"/>
        <v>67654.473684210534</v>
      </c>
      <c r="J317" s="1"/>
      <c r="K317" s="1" t="s">
        <v>25</v>
      </c>
      <c r="L317" s="1"/>
      <c r="M317" s="4">
        <f t="shared" si="13"/>
        <v>67654.473684210534</v>
      </c>
      <c r="N317" s="2">
        <v>529</v>
      </c>
    </row>
    <row r="318" spans="1:14" x14ac:dyDescent="0.4">
      <c r="A318" s="1">
        <v>100317</v>
      </c>
      <c r="B318" s="1"/>
      <c r="C318" s="1"/>
      <c r="D318" s="1"/>
      <c r="E318" s="1"/>
      <c r="F318" s="1"/>
      <c r="G318" s="1">
        <v>6</v>
      </c>
      <c r="H318" s="1">
        <v>36.5</v>
      </c>
      <c r="I318" s="5">
        <f t="shared" si="14"/>
        <v>65262.368421052633</v>
      </c>
      <c r="J318" s="1"/>
      <c r="K318" s="1" t="s">
        <v>25</v>
      </c>
      <c r="L318" s="1"/>
      <c r="M318" s="4">
        <f t="shared" si="13"/>
        <v>65262.368421052633</v>
      </c>
      <c r="N318" s="2">
        <v>499</v>
      </c>
    </row>
    <row r="319" spans="1:14" x14ac:dyDescent="0.4">
      <c r="A319" s="1">
        <v>100318</v>
      </c>
      <c r="B319" s="1"/>
      <c r="C319" s="1"/>
      <c r="D319" s="1"/>
      <c r="E319" s="1"/>
      <c r="F319" s="1"/>
      <c r="G319" s="1">
        <v>6.5</v>
      </c>
      <c r="H319" s="1">
        <v>37.5</v>
      </c>
      <c r="I319" s="5">
        <f t="shared" si="14"/>
        <v>64465</v>
      </c>
      <c r="J319" s="1"/>
      <c r="K319" s="1" t="s">
        <v>25</v>
      </c>
      <c r="L319" s="1"/>
      <c r="M319" s="4">
        <f t="shared" si="13"/>
        <v>64465</v>
      </c>
      <c r="N319" s="2">
        <v>489</v>
      </c>
    </row>
    <row r="320" spans="1:14" x14ac:dyDescent="0.4">
      <c r="A320" s="1">
        <v>100319</v>
      </c>
      <c r="B320" s="1"/>
      <c r="C320" s="1"/>
      <c r="D320" s="1"/>
      <c r="E320" s="1"/>
      <c r="F320" s="1"/>
      <c r="G320" s="1">
        <v>7</v>
      </c>
      <c r="H320" s="1">
        <v>38</v>
      </c>
      <c r="I320" s="5">
        <f t="shared" si="14"/>
        <v>64465</v>
      </c>
      <c r="J320" s="1"/>
      <c r="K320" s="1" t="s">
        <v>25</v>
      </c>
      <c r="L320" s="1"/>
      <c r="M320" s="4">
        <f t="shared" si="13"/>
        <v>64465</v>
      </c>
      <c r="N320" s="2">
        <v>489</v>
      </c>
    </row>
    <row r="321" spans="1:15" x14ac:dyDescent="0.4">
      <c r="A321" s="1">
        <v>100320</v>
      </c>
      <c r="B321" s="1"/>
      <c r="C321" s="1"/>
      <c r="D321" s="1"/>
      <c r="E321" s="1"/>
      <c r="F321" s="1"/>
      <c r="G321" s="1">
        <v>7.5</v>
      </c>
      <c r="H321" s="1">
        <v>38.5</v>
      </c>
      <c r="I321" s="5">
        <f t="shared" si="14"/>
        <v>63667.631578947374</v>
      </c>
      <c r="J321" s="1"/>
      <c r="K321" s="1" t="s">
        <v>25</v>
      </c>
      <c r="L321" s="1"/>
      <c r="M321" s="4">
        <f t="shared" si="13"/>
        <v>63667.631578947374</v>
      </c>
      <c r="N321" s="2">
        <v>479</v>
      </c>
    </row>
    <row r="322" spans="1:15" x14ac:dyDescent="0.4">
      <c r="A322" s="1">
        <v>100321</v>
      </c>
      <c r="B322" s="1"/>
      <c r="C322" s="1"/>
      <c r="D322" s="1"/>
      <c r="E322" s="1"/>
      <c r="F322" s="1"/>
      <c r="G322" s="1">
        <v>8</v>
      </c>
      <c r="H322" s="1">
        <v>39</v>
      </c>
      <c r="I322" s="5">
        <f t="shared" si="14"/>
        <v>76425.526315789481</v>
      </c>
      <c r="J322" s="1"/>
      <c r="K322" s="1" t="s">
        <v>25</v>
      </c>
      <c r="L322" s="1"/>
      <c r="M322" s="4">
        <f t="shared" si="13"/>
        <v>76425.526315789481</v>
      </c>
      <c r="N322" s="2">
        <v>639</v>
      </c>
    </row>
    <row r="323" spans="1:15" x14ac:dyDescent="0.4">
      <c r="A323" s="1">
        <v>100322</v>
      </c>
      <c r="B323" s="1"/>
      <c r="C323" s="1"/>
      <c r="D323" s="1"/>
      <c r="E323" s="1"/>
      <c r="F323" s="1"/>
      <c r="G323" s="1">
        <v>8.5</v>
      </c>
      <c r="H323" s="1">
        <v>40</v>
      </c>
      <c r="I323" s="5">
        <f t="shared" si="14"/>
        <v>73236.052631578947</v>
      </c>
      <c r="J323" s="1"/>
      <c r="K323" s="1" t="s">
        <v>25</v>
      </c>
      <c r="L323" s="1"/>
      <c r="M323" s="4">
        <f t="shared" si="13"/>
        <v>73236.052631578947</v>
      </c>
      <c r="N323" s="2">
        <v>599</v>
      </c>
    </row>
    <row r="324" spans="1:15" x14ac:dyDescent="0.4">
      <c r="A324" s="1">
        <v>100323</v>
      </c>
      <c r="B324" s="1"/>
      <c r="C324" s="1"/>
      <c r="D324" s="1"/>
      <c r="E324" s="1"/>
      <c r="F324" s="1"/>
      <c r="G324" s="1">
        <v>9</v>
      </c>
      <c r="H324" s="1">
        <v>40.5</v>
      </c>
      <c r="I324" s="5">
        <f t="shared" si="14"/>
        <v>73236.052631578947</v>
      </c>
      <c r="J324" s="1"/>
      <c r="K324" s="1" t="s">
        <v>25</v>
      </c>
      <c r="L324" s="1"/>
      <c r="M324" s="4">
        <f t="shared" si="13"/>
        <v>73236.052631578947</v>
      </c>
      <c r="N324" s="2">
        <v>599</v>
      </c>
    </row>
    <row r="325" spans="1:15" x14ac:dyDescent="0.4">
      <c r="A325" s="1">
        <v>100324</v>
      </c>
      <c r="B325" s="1"/>
      <c r="C325" s="1"/>
      <c r="D325" s="1"/>
      <c r="E325" s="1"/>
      <c r="F325" s="1"/>
      <c r="G325" s="1">
        <v>9.5</v>
      </c>
      <c r="H325" s="1">
        <v>41</v>
      </c>
      <c r="I325" s="5">
        <f t="shared" si="14"/>
        <v>79615</v>
      </c>
      <c r="J325" s="1"/>
      <c r="K325" s="1" t="s">
        <v>25</v>
      </c>
      <c r="L325" s="1"/>
      <c r="M325" s="4">
        <f t="shared" si="13"/>
        <v>79615</v>
      </c>
      <c r="N325" s="2">
        <v>679</v>
      </c>
    </row>
    <row r="326" spans="1:15" ht="247.75" x14ac:dyDescent="0.4">
      <c r="A326" s="1">
        <v>100325</v>
      </c>
      <c r="B326" s="1"/>
      <c r="C326" s="1"/>
      <c r="D326" s="1" t="s">
        <v>57</v>
      </c>
      <c r="E326" s="1" t="s">
        <v>7</v>
      </c>
      <c r="F326" s="1" t="s">
        <v>104</v>
      </c>
      <c r="G326" s="1">
        <v>5</v>
      </c>
      <c r="H326" s="1">
        <v>35.5</v>
      </c>
      <c r="I326" s="5">
        <f t="shared" si="14"/>
        <v>62870.26315789474</v>
      </c>
      <c r="J326" s="1"/>
      <c r="K326" s="1" t="s">
        <v>25</v>
      </c>
      <c r="L326" s="9" t="s">
        <v>105</v>
      </c>
      <c r="M326" s="4">
        <f t="shared" si="13"/>
        <v>62870.26315789474</v>
      </c>
      <c r="N326" s="2">
        <v>469</v>
      </c>
    </row>
    <row r="327" spans="1:15" x14ac:dyDescent="0.4">
      <c r="A327" s="1">
        <v>100326</v>
      </c>
      <c r="B327" s="1"/>
      <c r="C327" s="1"/>
      <c r="D327" s="1"/>
      <c r="E327" s="1"/>
      <c r="F327" s="1"/>
      <c r="G327" s="1">
        <v>5.5</v>
      </c>
      <c r="H327" s="1">
        <v>36</v>
      </c>
      <c r="I327" s="5">
        <f t="shared" si="14"/>
        <v>61275.526315789473</v>
      </c>
      <c r="J327" s="1"/>
      <c r="K327" s="1" t="s">
        <v>25</v>
      </c>
      <c r="L327" s="1"/>
      <c r="M327" s="4">
        <f t="shared" si="13"/>
        <v>61275.526315789473</v>
      </c>
      <c r="N327" s="2">
        <v>449</v>
      </c>
    </row>
    <row r="328" spans="1:15" x14ac:dyDescent="0.4">
      <c r="A328" s="1">
        <v>100327</v>
      </c>
      <c r="B328" s="1"/>
      <c r="C328" s="1"/>
      <c r="D328" s="1"/>
      <c r="E328" s="1"/>
      <c r="F328" s="1"/>
      <c r="G328" s="1">
        <v>6</v>
      </c>
      <c r="H328" s="1">
        <v>36.5</v>
      </c>
      <c r="I328" s="5">
        <f t="shared" si="14"/>
        <v>61275.526315789473</v>
      </c>
      <c r="J328" s="1"/>
      <c r="K328" s="1" t="s">
        <v>25</v>
      </c>
      <c r="L328" s="1"/>
      <c r="M328" s="4">
        <f t="shared" si="13"/>
        <v>61275.526315789473</v>
      </c>
      <c r="N328" s="2">
        <v>449</v>
      </c>
    </row>
    <row r="329" spans="1:15" x14ac:dyDescent="0.4">
      <c r="A329" s="1">
        <v>100328</v>
      </c>
      <c r="B329" s="1"/>
      <c r="C329" s="1"/>
      <c r="D329" s="1"/>
      <c r="E329" s="1"/>
      <c r="F329" s="1"/>
      <c r="G329" s="1">
        <v>6.5</v>
      </c>
      <c r="H329" s="1">
        <v>37.5</v>
      </c>
      <c r="I329" s="5">
        <f t="shared" si="14"/>
        <v>69249.210526315786</v>
      </c>
      <c r="J329" s="1"/>
      <c r="K329" s="1" t="s">
        <v>25</v>
      </c>
      <c r="L329" s="1"/>
      <c r="M329" s="4">
        <f t="shared" si="13"/>
        <v>69249.210526315786</v>
      </c>
      <c r="N329" s="2">
        <v>549</v>
      </c>
    </row>
    <row r="330" spans="1:15" x14ac:dyDescent="0.4">
      <c r="A330" s="1">
        <v>100329</v>
      </c>
      <c r="B330" s="1"/>
      <c r="C330" s="1"/>
      <c r="D330" s="1"/>
      <c r="E330" s="1"/>
      <c r="F330" s="1"/>
      <c r="G330" s="1">
        <v>7</v>
      </c>
      <c r="H330" s="1">
        <v>38</v>
      </c>
      <c r="I330" s="5">
        <f t="shared" si="14"/>
        <v>67096.315789473694</v>
      </c>
      <c r="J330" s="1"/>
      <c r="K330" s="1" t="s">
        <v>25</v>
      </c>
      <c r="L330" s="1"/>
      <c r="M330" s="4">
        <f t="shared" si="13"/>
        <v>67096.315789473694</v>
      </c>
      <c r="N330" s="2">
        <v>522</v>
      </c>
    </row>
    <row r="331" spans="1:15" x14ac:dyDescent="0.4">
      <c r="A331" s="1">
        <v>100330</v>
      </c>
      <c r="B331" s="1"/>
      <c r="C331" s="1"/>
      <c r="D331" s="1"/>
      <c r="E331" s="1"/>
      <c r="F331" s="1"/>
      <c r="G331" s="1">
        <v>7.5</v>
      </c>
      <c r="H331" s="1">
        <v>38.5</v>
      </c>
      <c r="I331" s="5">
        <f t="shared" si="14"/>
        <v>62790.526315789473</v>
      </c>
      <c r="J331" s="1"/>
      <c r="K331" s="1" t="s">
        <v>25</v>
      </c>
      <c r="L331" s="1"/>
      <c r="M331" s="4">
        <f t="shared" si="13"/>
        <v>62790.526315789473</v>
      </c>
      <c r="N331" s="2">
        <v>468</v>
      </c>
    </row>
    <row r="332" spans="1:15" x14ac:dyDescent="0.4">
      <c r="A332" s="1">
        <v>100331</v>
      </c>
      <c r="B332" s="1"/>
      <c r="C332" s="1"/>
      <c r="D332" s="1"/>
      <c r="E332" s="1"/>
      <c r="F332" s="1"/>
      <c r="G332" s="1">
        <v>8</v>
      </c>
      <c r="H332" s="1">
        <v>39</v>
      </c>
      <c r="I332" s="5">
        <f t="shared" si="14"/>
        <v>63667.631578947374</v>
      </c>
      <c r="J332" s="1"/>
      <c r="K332" s="1" t="s">
        <v>25</v>
      </c>
      <c r="L332" s="1"/>
      <c r="M332" s="4">
        <f t="shared" si="13"/>
        <v>63667.631578947374</v>
      </c>
      <c r="N332" s="2">
        <v>479</v>
      </c>
    </row>
    <row r="333" spans="1:15" x14ac:dyDescent="0.4">
      <c r="A333" s="1">
        <v>100332</v>
      </c>
      <c r="B333" s="1"/>
      <c r="C333" s="1"/>
      <c r="D333" s="1"/>
      <c r="E333" s="1"/>
      <c r="F333" s="1"/>
      <c r="G333" s="1">
        <v>8.5</v>
      </c>
      <c r="H333" s="1">
        <v>40</v>
      </c>
      <c r="I333" s="5">
        <f t="shared" si="14"/>
        <v>64465</v>
      </c>
      <c r="J333" s="1"/>
      <c r="K333" s="1" t="s">
        <v>25</v>
      </c>
      <c r="L333" s="1"/>
      <c r="M333" s="4">
        <f t="shared" si="13"/>
        <v>64465</v>
      </c>
      <c r="N333" s="2">
        <v>489</v>
      </c>
    </row>
    <row r="334" spans="1:15" x14ac:dyDescent="0.4">
      <c r="A334" s="1">
        <v>100333</v>
      </c>
      <c r="B334" s="1"/>
      <c r="C334" s="1"/>
      <c r="D334" s="1"/>
      <c r="E334" s="1"/>
      <c r="F334" s="1"/>
      <c r="G334" s="1">
        <v>9</v>
      </c>
      <c r="H334" s="1">
        <v>40.5</v>
      </c>
      <c r="I334" s="5">
        <f t="shared" si="14"/>
        <v>68451.84210526316</v>
      </c>
      <c r="J334" s="1"/>
      <c r="K334" s="1" t="s">
        <v>25</v>
      </c>
      <c r="L334" s="1"/>
      <c r="M334" s="4">
        <f t="shared" si="13"/>
        <v>68451.84210526316</v>
      </c>
      <c r="N334" s="2">
        <v>539</v>
      </c>
    </row>
    <row r="335" spans="1:15" x14ac:dyDescent="0.4">
      <c r="A335" s="1">
        <v>100334</v>
      </c>
      <c r="B335" s="1"/>
      <c r="C335" s="1"/>
      <c r="D335" s="1"/>
      <c r="E335" s="1"/>
      <c r="F335" s="1"/>
      <c r="G335" s="1">
        <v>9.5</v>
      </c>
      <c r="H335" s="1">
        <v>41</v>
      </c>
      <c r="I335" s="5">
        <f t="shared" si="14"/>
        <v>74830.789473684214</v>
      </c>
      <c r="J335" s="1"/>
      <c r="K335" s="1" t="s">
        <v>25</v>
      </c>
      <c r="L335" s="1"/>
      <c r="M335" s="4">
        <f t="shared" si="13"/>
        <v>74830.789473684214</v>
      </c>
      <c r="N335" s="2">
        <v>619</v>
      </c>
    </row>
    <row r="336" spans="1:15" ht="75" customHeight="1" x14ac:dyDescent="0.4">
      <c r="A336" s="1">
        <v>100335</v>
      </c>
      <c r="B336" s="1"/>
      <c r="C336" s="1" t="s">
        <v>119</v>
      </c>
      <c r="D336" s="1" t="s">
        <v>38</v>
      </c>
      <c r="E336" s="1" t="s">
        <v>7</v>
      </c>
      <c r="F336" s="1" t="s">
        <v>120</v>
      </c>
      <c r="G336" s="1" t="s">
        <v>126</v>
      </c>
      <c r="H336" s="1">
        <v>37.5</v>
      </c>
      <c r="I336" s="1">
        <f t="shared" si="14"/>
        <v>50112.368421052633</v>
      </c>
      <c r="J336" s="1"/>
      <c r="K336" s="1" t="s">
        <v>25</v>
      </c>
      <c r="L336" s="1" t="s">
        <v>121</v>
      </c>
      <c r="M336" s="2">
        <f t="shared" si="13"/>
        <v>50112.368421052633</v>
      </c>
      <c r="N336" s="2">
        <v>309</v>
      </c>
      <c r="O336" s="14" t="s">
        <v>131</v>
      </c>
    </row>
    <row r="337" spans="1:15" ht="102" x14ac:dyDescent="0.4">
      <c r="A337" s="1">
        <v>100336</v>
      </c>
      <c r="B337" s="1"/>
      <c r="C337" s="1"/>
      <c r="D337" s="1" t="s">
        <v>38</v>
      </c>
      <c r="E337" s="1" t="s">
        <v>43</v>
      </c>
      <c r="F337" s="1" t="s">
        <v>122</v>
      </c>
      <c r="G337" s="1" t="s">
        <v>127</v>
      </c>
      <c r="H337" s="1">
        <v>36</v>
      </c>
      <c r="I337" s="1">
        <f t="shared" si="14"/>
        <v>53301.84210526316</v>
      </c>
      <c r="J337" s="1"/>
      <c r="K337" s="1" t="s">
        <v>25</v>
      </c>
      <c r="L337" s="1" t="s">
        <v>121</v>
      </c>
      <c r="M337" s="2">
        <f t="shared" si="13"/>
        <v>53301.84210526316</v>
      </c>
      <c r="N337" s="2">
        <v>349</v>
      </c>
      <c r="O337" s="14" t="s">
        <v>132</v>
      </c>
    </row>
    <row r="338" spans="1:15" x14ac:dyDescent="0.4">
      <c r="A338" s="1">
        <v>100337</v>
      </c>
      <c r="B338" s="1"/>
      <c r="C338" s="1"/>
      <c r="D338" s="1"/>
      <c r="E338" s="1"/>
      <c r="F338" s="1"/>
      <c r="G338" s="1" t="s">
        <v>128</v>
      </c>
      <c r="H338" s="1">
        <v>40</v>
      </c>
      <c r="I338" s="1">
        <f t="shared" si="14"/>
        <v>53301.84210526316</v>
      </c>
      <c r="J338" s="1"/>
      <c r="K338" s="1" t="s">
        <v>25</v>
      </c>
      <c r="L338" s="1"/>
      <c r="M338" s="2">
        <f t="shared" si="13"/>
        <v>53301.84210526316</v>
      </c>
      <c r="N338" s="2">
        <v>349</v>
      </c>
    </row>
    <row r="339" spans="1:15" ht="378.9" x14ac:dyDescent="0.4">
      <c r="A339" s="1">
        <v>100338</v>
      </c>
      <c r="B339" s="1"/>
      <c r="C339" s="1" t="s">
        <v>123</v>
      </c>
      <c r="D339" s="1" t="s">
        <v>38</v>
      </c>
      <c r="E339" s="1" t="s">
        <v>43</v>
      </c>
      <c r="F339" s="1" t="s">
        <v>124</v>
      </c>
      <c r="G339" s="1">
        <v>8</v>
      </c>
      <c r="H339" s="1">
        <v>41</v>
      </c>
      <c r="I339" s="1">
        <f t="shared" si="14"/>
        <v>48118.947368421053</v>
      </c>
      <c r="J339" s="1"/>
      <c r="K339" s="1" t="s">
        <v>25</v>
      </c>
      <c r="L339" s="9" t="s">
        <v>125</v>
      </c>
      <c r="M339" s="2">
        <f t="shared" si="13"/>
        <v>48118.947368421053</v>
      </c>
      <c r="N339" s="2">
        <v>284</v>
      </c>
      <c r="O339" s="14" t="s">
        <v>133</v>
      </c>
    </row>
    <row r="340" spans="1:15" x14ac:dyDescent="0.4">
      <c r="A340" s="15">
        <v>100339</v>
      </c>
    </row>
    <row r="341" spans="1:15" x14ac:dyDescent="0.4">
      <c r="A341" s="1">
        <v>100340</v>
      </c>
    </row>
    <row r="342" spans="1:15" x14ac:dyDescent="0.4">
      <c r="A342" s="1">
        <v>100341</v>
      </c>
    </row>
    <row r="343" spans="1:15" x14ac:dyDescent="0.4">
      <c r="A343" s="1">
        <v>100342</v>
      </c>
    </row>
    <row r="344" spans="1:15" x14ac:dyDescent="0.4">
      <c r="A344" s="1">
        <v>100343</v>
      </c>
    </row>
    <row r="345" spans="1:15" x14ac:dyDescent="0.4">
      <c r="A345" s="1">
        <v>100344</v>
      </c>
    </row>
    <row r="346" spans="1:15" x14ac:dyDescent="0.4">
      <c r="A346" s="1">
        <v>100345</v>
      </c>
    </row>
    <row r="347" spans="1:15" x14ac:dyDescent="0.4">
      <c r="A347" s="1">
        <v>100346</v>
      </c>
    </row>
    <row r="348" spans="1:15" x14ac:dyDescent="0.4">
      <c r="A348" s="1">
        <v>100347</v>
      </c>
    </row>
    <row r="349" spans="1:15" x14ac:dyDescent="0.4">
      <c r="A349" s="1">
        <v>100348</v>
      </c>
    </row>
    <row r="350" spans="1:15" x14ac:dyDescent="0.4">
      <c r="A350" s="1">
        <v>100349</v>
      </c>
    </row>
    <row r="351" spans="1:15" x14ac:dyDescent="0.4">
      <c r="A351" s="1">
        <v>100350</v>
      </c>
    </row>
    <row r="352" spans="1:15" x14ac:dyDescent="0.4">
      <c r="A352" s="1">
        <v>100351</v>
      </c>
    </row>
    <row r="353" spans="1:1" x14ac:dyDescent="0.4">
      <c r="A353" s="1">
        <v>100352</v>
      </c>
    </row>
    <row r="354" spans="1:1" x14ac:dyDescent="0.4">
      <c r="A354" s="1">
        <v>100353</v>
      </c>
    </row>
    <row r="355" spans="1:1" x14ac:dyDescent="0.4">
      <c r="A355" s="1">
        <v>100354</v>
      </c>
    </row>
    <row r="356" spans="1:1" x14ac:dyDescent="0.4">
      <c r="A356" s="1">
        <v>100355</v>
      </c>
    </row>
    <row r="357" spans="1:1" x14ac:dyDescent="0.4">
      <c r="A357" s="1">
        <v>100356</v>
      </c>
    </row>
    <row r="358" spans="1:1" x14ac:dyDescent="0.4">
      <c r="A358" s="1">
        <v>100357</v>
      </c>
    </row>
    <row r="359" spans="1:1" x14ac:dyDescent="0.4">
      <c r="A359" s="1">
        <v>100358</v>
      </c>
    </row>
    <row r="360" spans="1:1" x14ac:dyDescent="0.4">
      <c r="A360" s="1">
        <v>100359</v>
      </c>
    </row>
    <row r="361" spans="1:1" x14ac:dyDescent="0.4">
      <c r="A361" s="1">
        <v>100360</v>
      </c>
    </row>
    <row r="362" spans="1:1" x14ac:dyDescent="0.4">
      <c r="A362" s="1">
        <v>100361</v>
      </c>
    </row>
    <row r="363" spans="1:1" x14ac:dyDescent="0.4">
      <c r="A363" s="1">
        <v>100362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6538-67CE-4574-A08C-7F9575FC0AF6}">
  <dimension ref="A1:N33"/>
  <sheetViews>
    <sheetView topLeftCell="A7" workbookViewId="0">
      <selection activeCell="K36" sqref="K36"/>
    </sheetView>
  </sheetViews>
  <sheetFormatPr defaultRowHeight="14.6" x14ac:dyDescent="0.4"/>
  <cols>
    <col min="1" max="2" width="9.23046875" style="2"/>
    <col min="3" max="3" width="31.84375" style="2" bestFit="1" customWidth="1"/>
    <col min="4" max="4" width="9.23046875" style="2"/>
    <col min="5" max="5" width="11.84375" style="2" bestFit="1" customWidth="1"/>
    <col min="6" max="6" width="29.07421875" style="2" customWidth="1"/>
    <col min="7" max="7" width="11.69140625" style="2" customWidth="1"/>
    <col min="8" max="11" width="9.23046875" style="2"/>
    <col min="12" max="12" width="10.07421875" style="2" bestFit="1" customWidth="1"/>
    <col min="13" max="16384" width="9.23046875" style="2"/>
  </cols>
  <sheetData>
    <row r="1" spans="1:14" x14ac:dyDescent="0.4">
      <c r="A1" s="1" t="s">
        <v>10</v>
      </c>
      <c r="B1" s="1" t="s">
        <v>2</v>
      </c>
      <c r="C1" s="1" t="s">
        <v>0</v>
      </c>
      <c r="D1" s="1" t="s">
        <v>8</v>
      </c>
      <c r="E1" s="1" t="s">
        <v>9</v>
      </c>
      <c r="F1" s="1" t="s">
        <v>12</v>
      </c>
      <c r="G1" s="1" t="s">
        <v>19</v>
      </c>
      <c r="H1" s="1" t="s">
        <v>20</v>
      </c>
      <c r="I1" s="1" t="s">
        <v>1</v>
      </c>
      <c r="J1" s="1" t="s">
        <v>3</v>
      </c>
      <c r="K1" s="1" t="s">
        <v>28</v>
      </c>
      <c r="L1" s="1" t="s">
        <v>27</v>
      </c>
    </row>
    <row r="2" spans="1:14" x14ac:dyDescent="0.4">
      <c r="A2" s="1">
        <v>500001</v>
      </c>
      <c r="B2" s="1" t="s">
        <v>5</v>
      </c>
      <c r="C2" s="1" t="s">
        <v>18</v>
      </c>
      <c r="D2" s="1" t="s">
        <v>6</v>
      </c>
      <c r="E2" s="1" t="s">
        <v>13</v>
      </c>
      <c r="F2" s="1" t="s">
        <v>22</v>
      </c>
      <c r="G2" s="1">
        <v>1</v>
      </c>
      <c r="H2" s="1"/>
      <c r="I2" s="5">
        <f>M2</f>
        <v>71641.315789473694</v>
      </c>
      <c r="J2" s="1"/>
      <c r="K2" s="1" t="s">
        <v>25</v>
      </c>
      <c r="L2" s="1"/>
      <c r="M2" s="4">
        <f>(N2*75+N2*75*0.01+15000+4200+5000)/0.95</f>
        <v>71641.315789473694</v>
      </c>
      <c r="N2" s="2">
        <v>579</v>
      </c>
    </row>
    <row r="3" spans="1:14" x14ac:dyDescent="0.4">
      <c r="A3" s="1">
        <v>500002</v>
      </c>
      <c r="B3" s="1"/>
      <c r="C3" s="1"/>
      <c r="D3" s="1"/>
      <c r="E3" s="1"/>
      <c r="F3" s="1"/>
      <c r="G3" s="1">
        <v>2</v>
      </c>
      <c r="H3" s="1"/>
      <c r="I3" s="5">
        <f t="shared" ref="I3:I33" si="0">M3</f>
        <v>71641.315789473694</v>
      </c>
      <c r="J3" s="1"/>
      <c r="K3" s="1" t="s">
        <v>25</v>
      </c>
      <c r="L3" s="1"/>
      <c r="M3" s="4">
        <f t="shared" ref="M3:M33" si="1">(N3*75+N3*75*0.01+15000+4200+5000)/0.95</f>
        <v>71641.315789473694</v>
      </c>
      <c r="N3" s="2">
        <v>579</v>
      </c>
    </row>
    <row r="4" spans="1:14" x14ac:dyDescent="0.4">
      <c r="A4" s="1">
        <v>500003</v>
      </c>
      <c r="B4" s="1"/>
      <c r="C4" s="1"/>
      <c r="D4" s="1"/>
      <c r="E4" s="1"/>
      <c r="F4" s="1"/>
      <c r="G4" s="1">
        <v>3</v>
      </c>
      <c r="H4" s="1"/>
      <c r="I4" s="5">
        <f t="shared" si="0"/>
        <v>71641.315789473694</v>
      </c>
      <c r="J4" s="1"/>
      <c r="K4" s="1" t="s">
        <v>25</v>
      </c>
      <c r="L4" s="1"/>
      <c r="M4" s="4">
        <f t="shared" si="1"/>
        <v>71641.315789473694</v>
      </c>
      <c r="N4" s="2">
        <v>579</v>
      </c>
    </row>
    <row r="5" spans="1:14" x14ac:dyDescent="0.4">
      <c r="A5" s="1">
        <v>500004</v>
      </c>
      <c r="B5" s="1"/>
      <c r="C5" s="1"/>
      <c r="D5" s="1"/>
      <c r="E5" s="1"/>
      <c r="F5" s="1"/>
      <c r="G5" s="1">
        <v>4</v>
      </c>
      <c r="H5" s="1"/>
      <c r="I5" s="5">
        <f t="shared" si="0"/>
        <v>71641.315789473694</v>
      </c>
      <c r="J5" s="1"/>
      <c r="K5" s="1" t="s">
        <v>25</v>
      </c>
      <c r="L5" s="1"/>
      <c r="M5" s="4">
        <f t="shared" si="1"/>
        <v>71641.315789473694</v>
      </c>
      <c r="N5" s="2">
        <v>579</v>
      </c>
    </row>
    <row r="6" spans="1:14" x14ac:dyDescent="0.4">
      <c r="A6" s="1">
        <v>500005</v>
      </c>
      <c r="B6" s="1"/>
      <c r="C6" s="1"/>
      <c r="D6" s="1"/>
      <c r="E6" s="1"/>
      <c r="F6" s="1"/>
      <c r="G6" s="1">
        <v>5</v>
      </c>
      <c r="H6" s="1"/>
      <c r="I6" s="5">
        <f t="shared" si="0"/>
        <v>71641.315789473694</v>
      </c>
      <c r="J6" s="1"/>
      <c r="K6" s="1" t="s">
        <v>25</v>
      </c>
      <c r="L6" s="1"/>
      <c r="M6" s="4">
        <f t="shared" si="1"/>
        <v>71641.315789473694</v>
      </c>
      <c r="N6" s="2">
        <v>579</v>
      </c>
    </row>
    <row r="7" spans="1:14" x14ac:dyDescent="0.4">
      <c r="A7" s="1">
        <v>500006</v>
      </c>
      <c r="B7" s="1"/>
      <c r="C7" s="1"/>
      <c r="D7" s="1"/>
      <c r="E7" s="1"/>
      <c r="F7" s="1"/>
      <c r="G7" s="1">
        <v>6</v>
      </c>
      <c r="H7" s="1"/>
      <c r="I7" s="5">
        <f t="shared" si="0"/>
        <v>71641.315789473694</v>
      </c>
      <c r="J7" s="1"/>
      <c r="K7" s="1" t="s">
        <v>25</v>
      </c>
      <c r="L7" s="1"/>
      <c r="M7" s="4">
        <f t="shared" si="1"/>
        <v>71641.315789473694</v>
      </c>
      <c r="N7" s="2">
        <v>579</v>
      </c>
    </row>
    <row r="8" spans="1:14" x14ac:dyDescent="0.4">
      <c r="A8" s="1">
        <v>500007</v>
      </c>
      <c r="B8" s="1"/>
      <c r="C8" s="1"/>
      <c r="D8" s="1"/>
      <c r="E8" s="1"/>
      <c r="F8" s="1"/>
      <c r="G8" s="1">
        <v>7</v>
      </c>
      <c r="H8" s="1"/>
      <c r="I8" s="5">
        <f t="shared" si="0"/>
        <v>71641.315789473694</v>
      </c>
      <c r="J8" s="1"/>
      <c r="K8" s="1" t="s">
        <v>25</v>
      </c>
      <c r="L8" s="1"/>
      <c r="M8" s="4">
        <f t="shared" si="1"/>
        <v>71641.315789473694</v>
      </c>
      <c r="N8" s="2">
        <v>579</v>
      </c>
    </row>
    <row r="9" spans="1:14" x14ac:dyDescent="0.4">
      <c r="A9" s="1">
        <v>500008</v>
      </c>
      <c r="B9" s="1"/>
      <c r="C9" s="1"/>
      <c r="D9" s="1"/>
      <c r="E9" s="1" t="s">
        <v>7</v>
      </c>
      <c r="F9" s="1" t="s">
        <v>26</v>
      </c>
      <c r="G9" s="1">
        <v>1</v>
      </c>
      <c r="H9" s="1"/>
      <c r="I9" s="5">
        <f t="shared" si="0"/>
        <v>71641.315789473694</v>
      </c>
      <c r="J9" s="1"/>
      <c r="K9" s="1" t="s">
        <v>25</v>
      </c>
      <c r="L9" s="1"/>
      <c r="M9" s="4">
        <f t="shared" si="1"/>
        <v>71641.315789473694</v>
      </c>
      <c r="N9" s="2">
        <v>579</v>
      </c>
    </row>
    <row r="10" spans="1:14" x14ac:dyDescent="0.4">
      <c r="A10" s="1">
        <v>500009</v>
      </c>
      <c r="B10" s="1"/>
      <c r="C10" s="1"/>
      <c r="D10" s="1"/>
      <c r="E10" s="1"/>
      <c r="F10" s="1"/>
      <c r="G10" s="1">
        <v>2</v>
      </c>
      <c r="H10" s="1"/>
      <c r="I10" s="5">
        <f t="shared" si="0"/>
        <v>71641.315789473694</v>
      </c>
      <c r="J10" s="1"/>
      <c r="K10" s="1" t="s">
        <v>25</v>
      </c>
      <c r="L10" s="1"/>
      <c r="M10" s="4">
        <f t="shared" si="1"/>
        <v>71641.315789473694</v>
      </c>
      <c r="N10" s="2">
        <v>579</v>
      </c>
    </row>
    <row r="11" spans="1:14" x14ac:dyDescent="0.4">
      <c r="A11" s="1">
        <v>500010</v>
      </c>
      <c r="B11" s="1"/>
      <c r="C11" s="1"/>
      <c r="D11" s="1"/>
      <c r="E11" s="1"/>
      <c r="F11" s="1"/>
      <c r="G11" s="1">
        <v>3</v>
      </c>
      <c r="H11" s="1"/>
      <c r="I11" s="5">
        <f t="shared" si="0"/>
        <v>71641.315789473694</v>
      </c>
      <c r="J11" s="1"/>
      <c r="K11" s="1" t="s">
        <v>25</v>
      </c>
      <c r="L11" s="1"/>
      <c r="M11" s="4">
        <f t="shared" si="1"/>
        <v>71641.315789473694</v>
      </c>
      <c r="N11" s="2">
        <v>579</v>
      </c>
    </row>
    <row r="12" spans="1:14" x14ac:dyDescent="0.4">
      <c r="A12" s="1">
        <v>500011</v>
      </c>
      <c r="B12" s="1"/>
      <c r="C12" s="1"/>
      <c r="D12" s="1"/>
      <c r="E12" s="1"/>
      <c r="F12" s="1"/>
      <c r="G12" s="1">
        <v>4</v>
      </c>
      <c r="H12" s="1"/>
      <c r="I12" s="5">
        <f t="shared" si="0"/>
        <v>71641.315789473694</v>
      </c>
      <c r="J12" s="1"/>
      <c r="K12" s="1" t="s">
        <v>25</v>
      </c>
      <c r="L12" s="1"/>
      <c r="M12" s="4">
        <f t="shared" si="1"/>
        <v>71641.315789473694</v>
      </c>
      <c r="N12" s="2">
        <v>579</v>
      </c>
    </row>
    <row r="13" spans="1:14" x14ac:dyDescent="0.4">
      <c r="A13" s="1">
        <v>500012</v>
      </c>
      <c r="B13" s="1"/>
      <c r="C13" s="1"/>
      <c r="D13" s="1"/>
      <c r="E13" s="1"/>
      <c r="F13" s="1"/>
      <c r="G13" s="1">
        <v>5</v>
      </c>
      <c r="H13" s="1"/>
      <c r="I13" s="5">
        <f t="shared" si="0"/>
        <v>71641.315789473694</v>
      </c>
      <c r="J13" s="1"/>
      <c r="K13" s="1" t="s">
        <v>25</v>
      </c>
      <c r="L13" s="1"/>
      <c r="M13" s="4">
        <f t="shared" si="1"/>
        <v>71641.315789473694</v>
      </c>
      <c r="N13" s="2">
        <v>579</v>
      </c>
    </row>
    <row r="14" spans="1:14" x14ac:dyDescent="0.4">
      <c r="A14" s="1">
        <v>500013</v>
      </c>
      <c r="B14" s="1"/>
      <c r="C14" s="1"/>
      <c r="D14" s="1"/>
      <c r="E14" s="1"/>
      <c r="F14" s="1"/>
      <c r="G14" s="1">
        <v>6</v>
      </c>
      <c r="H14" s="1"/>
      <c r="I14" s="5">
        <f t="shared" si="0"/>
        <v>71641.315789473694</v>
      </c>
      <c r="J14" s="1"/>
      <c r="K14" s="1" t="s">
        <v>25</v>
      </c>
      <c r="L14" s="1"/>
      <c r="M14" s="4">
        <f t="shared" si="1"/>
        <v>71641.315789473694</v>
      </c>
      <c r="N14" s="2">
        <v>579</v>
      </c>
    </row>
    <row r="15" spans="1:14" x14ac:dyDescent="0.4">
      <c r="A15" s="1">
        <v>500014</v>
      </c>
      <c r="B15" s="1"/>
      <c r="C15" s="1"/>
      <c r="D15" s="1"/>
      <c r="E15" s="1"/>
      <c r="F15" s="1"/>
      <c r="G15" s="1">
        <v>7</v>
      </c>
      <c r="H15" s="1"/>
      <c r="I15" s="5">
        <f t="shared" si="0"/>
        <v>71641.315789473694</v>
      </c>
      <c r="J15" s="1"/>
      <c r="K15" s="1" t="s">
        <v>25</v>
      </c>
      <c r="L15" s="1"/>
      <c r="M15" s="4">
        <f t="shared" si="1"/>
        <v>71641.315789473694</v>
      </c>
      <c r="N15" s="2">
        <v>579</v>
      </c>
    </row>
    <row r="16" spans="1:14" x14ac:dyDescent="0.4">
      <c r="A16" s="1"/>
      <c r="B16" s="1"/>
      <c r="C16" s="1"/>
      <c r="D16" s="1"/>
      <c r="E16" s="1"/>
      <c r="F16" s="1"/>
      <c r="G16" s="1"/>
      <c r="H16" s="1"/>
      <c r="I16" s="5">
        <f t="shared" si="0"/>
        <v>71641.315789473694</v>
      </c>
      <c r="J16" s="1"/>
      <c r="K16" s="1" t="s">
        <v>25</v>
      </c>
      <c r="L16" s="1"/>
      <c r="M16" s="4">
        <f t="shared" si="1"/>
        <v>71641.315789473694</v>
      </c>
      <c r="N16" s="2">
        <v>579</v>
      </c>
    </row>
    <row r="17" spans="1:14" x14ac:dyDescent="0.4">
      <c r="A17" s="1">
        <v>500101</v>
      </c>
      <c r="B17" s="1" t="s">
        <v>5</v>
      </c>
      <c r="C17" s="1" t="s">
        <v>17</v>
      </c>
      <c r="D17" s="1" t="s">
        <v>6</v>
      </c>
      <c r="E17" s="1" t="s">
        <v>15</v>
      </c>
      <c r="F17" s="1" t="s">
        <v>23</v>
      </c>
      <c r="G17" s="1">
        <v>1</v>
      </c>
      <c r="H17" s="1"/>
      <c r="I17" s="5">
        <f t="shared" si="0"/>
        <v>71641.315789473694</v>
      </c>
      <c r="J17" s="1"/>
      <c r="K17" s="1" t="s">
        <v>25</v>
      </c>
      <c r="L17" s="1"/>
      <c r="M17" s="4">
        <f t="shared" si="1"/>
        <v>71641.315789473694</v>
      </c>
      <c r="N17" s="2">
        <v>579</v>
      </c>
    </row>
    <row r="18" spans="1:14" x14ac:dyDescent="0.4">
      <c r="A18" s="1">
        <v>500102</v>
      </c>
      <c r="B18" s="1"/>
      <c r="C18" s="1"/>
      <c r="D18" s="1"/>
      <c r="E18" s="1"/>
      <c r="F18" s="1"/>
      <c r="G18" s="1">
        <v>2</v>
      </c>
      <c r="H18" s="1"/>
      <c r="I18" s="5">
        <f t="shared" si="0"/>
        <v>71641.315789473694</v>
      </c>
      <c r="J18" s="1"/>
      <c r="K18" s="1" t="s">
        <v>25</v>
      </c>
      <c r="L18" s="1"/>
      <c r="M18" s="4">
        <f t="shared" si="1"/>
        <v>71641.315789473694</v>
      </c>
      <c r="N18" s="2">
        <v>579</v>
      </c>
    </row>
    <row r="19" spans="1:14" x14ac:dyDescent="0.4">
      <c r="A19" s="1">
        <v>500103</v>
      </c>
      <c r="B19" s="1"/>
      <c r="C19" s="1"/>
      <c r="D19" s="1"/>
      <c r="E19" s="1"/>
      <c r="F19" s="1"/>
      <c r="G19" s="1">
        <v>3</v>
      </c>
      <c r="H19" s="1"/>
      <c r="I19" s="5">
        <f t="shared" si="0"/>
        <v>71641.315789473694</v>
      </c>
      <c r="J19" s="1"/>
      <c r="K19" s="1" t="s">
        <v>25</v>
      </c>
      <c r="L19" s="1"/>
      <c r="M19" s="4">
        <f t="shared" si="1"/>
        <v>71641.315789473694</v>
      </c>
      <c r="N19" s="2">
        <v>579</v>
      </c>
    </row>
    <row r="20" spans="1:14" x14ac:dyDescent="0.4">
      <c r="A20" s="1">
        <v>500104</v>
      </c>
      <c r="B20" s="1"/>
      <c r="C20" s="1"/>
      <c r="D20" s="1"/>
      <c r="E20" s="1"/>
      <c r="F20" s="1"/>
      <c r="G20" s="1">
        <v>4</v>
      </c>
      <c r="H20" s="1"/>
      <c r="I20" s="5">
        <f t="shared" si="0"/>
        <v>71641.315789473694</v>
      </c>
      <c r="J20" s="1"/>
      <c r="K20" s="1" t="s">
        <v>25</v>
      </c>
      <c r="L20" s="1"/>
      <c r="M20" s="4">
        <f t="shared" si="1"/>
        <v>71641.315789473694</v>
      </c>
      <c r="N20" s="2">
        <v>579</v>
      </c>
    </row>
    <row r="21" spans="1:14" x14ac:dyDescent="0.4">
      <c r="A21" s="1">
        <v>500105</v>
      </c>
      <c r="B21" s="1"/>
      <c r="C21" s="1"/>
      <c r="D21" s="1"/>
      <c r="E21" s="1"/>
      <c r="F21" s="1"/>
      <c r="G21" s="1">
        <v>5</v>
      </c>
      <c r="H21" s="1"/>
      <c r="I21" s="5">
        <f t="shared" si="0"/>
        <v>71641.315789473694</v>
      </c>
      <c r="J21" s="1"/>
      <c r="K21" s="1" t="s">
        <v>25</v>
      </c>
      <c r="L21" s="1"/>
      <c r="M21" s="4">
        <f t="shared" si="1"/>
        <v>71641.315789473694</v>
      </c>
      <c r="N21" s="2">
        <v>579</v>
      </c>
    </row>
    <row r="22" spans="1:14" x14ac:dyDescent="0.4">
      <c r="A22" s="1">
        <v>500106</v>
      </c>
      <c r="B22" s="1"/>
      <c r="C22" s="1"/>
      <c r="D22" s="1"/>
      <c r="E22" s="1"/>
      <c r="F22" s="1"/>
      <c r="G22" s="1">
        <v>6</v>
      </c>
      <c r="H22" s="1"/>
      <c r="I22" s="5">
        <f t="shared" si="0"/>
        <v>71641.315789473694</v>
      </c>
      <c r="J22" s="1"/>
      <c r="K22" s="1" t="s">
        <v>25</v>
      </c>
      <c r="L22" s="1"/>
      <c r="M22" s="4">
        <f t="shared" si="1"/>
        <v>71641.315789473694</v>
      </c>
      <c r="N22" s="2">
        <v>579</v>
      </c>
    </row>
    <row r="23" spans="1:14" x14ac:dyDescent="0.4">
      <c r="A23" s="1">
        <v>500107</v>
      </c>
      <c r="B23" s="1"/>
      <c r="C23" s="1"/>
      <c r="D23" s="1"/>
      <c r="E23" s="1"/>
      <c r="F23" s="1"/>
      <c r="G23" s="1">
        <v>7</v>
      </c>
      <c r="H23" s="1"/>
      <c r="I23" s="5">
        <f t="shared" si="0"/>
        <v>71641.315789473694</v>
      </c>
      <c r="J23" s="1"/>
      <c r="K23" s="1" t="s">
        <v>25</v>
      </c>
      <c r="L23" s="1"/>
      <c r="M23" s="4">
        <f t="shared" si="1"/>
        <v>71641.315789473694</v>
      </c>
      <c r="N23" s="2">
        <v>579</v>
      </c>
    </row>
    <row r="24" spans="1:14" x14ac:dyDescent="0.4">
      <c r="A24" s="1">
        <v>500108</v>
      </c>
      <c r="B24" s="1"/>
      <c r="C24" s="1"/>
      <c r="D24" s="1"/>
      <c r="E24" s="1"/>
      <c r="F24" s="1"/>
      <c r="G24" s="1">
        <v>8</v>
      </c>
      <c r="H24" s="1"/>
      <c r="I24" s="5">
        <f t="shared" si="0"/>
        <v>71641.315789473694</v>
      </c>
      <c r="J24" s="1"/>
      <c r="K24" s="1" t="s">
        <v>25</v>
      </c>
      <c r="L24" s="1"/>
      <c r="M24" s="4">
        <f t="shared" si="1"/>
        <v>71641.315789473694</v>
      </c>
      <c r="N24" s="2">
        <v>579</v>
      </c>
    </row>
    <row r="25" spans="1:14" x14ac:dyDescent="0.4">
      <c r="A25" s="1"/>
      <c r="B25" s="1"/>
      <c r="C25" s="1"/>
      <c r="D25" s="1"/>
      <c r="E25" s="1"/>
      <c r="F25" s="1"/>
      <c r="G25" s="1">
        <v>9</v>
      </c>
      <c r="H25" s="1"/>
      <c r="I25" s="5">
        <f t="shared" si="0"/>
        <v>71641.315789473694</v>
      </c>
      <c r="J25" s="1"/>
      <c r="K25" s="1" t="s">
        <v>25</v>
      </c>
      <c r="L25" s="1"/>
      <c r="M25" s="4">
        <f t="shared" si="1"/>
        <v>71641.315789473694</v>
      </c>
      <c r="N25" s="2">
        <v>579</v>
      </c>
    </row>
    <row r="26" spans="1:14" x14ac:dyDescent="0.4">
      <c r="A26" s="1">
        <v>500201</v>
      </c>
      <c r="B26" s="1" t="s">
        <v>5</v>
      </c>
      <c r="C26" s="1" t="s">
        <v>16</v>
      </c>
      <c r="D26" s="1" t="s">
        <v>6</v>
      </c>
      <c r="E26" s="1" t="s">
        <v>14</v>
      </c>
      <c r="F26" s="1" t="s">
        <v>24</v>
      </c>
      <c r="G26" s="1">
        <v>1</v>
      </c>
      <c r="H26" s="1"/>
      <c r="I26" s="5">
        <f t="shared" si="0"/>
        <v>71641.315789473694</v>
      </c>
      <c r="J26" s="1"/>
      <c r="K26" s="1" t="s">
        <v>25</v>
      </c>
      <c r="L26" s="1"/>
      <c r="M26" s="4">
        <f t="shared" si="1"/>
        <v>71641.315789473694</v>
      </c>
      <c r="N26" s="2">
        <v>579</v>
      </c>
    </row>
    <row r="27" spans="1:14" x14ac:dyDescent="0.4">
      <c r="A27" s="1">
        <v>500202</v>
      </c>
      <c r="B27" s="1"/>
      <c r="C27" s="1"/>
      <c r="D27" s="1"/>
      <c r="E27" s="1"/>
      <c r="F27" s="1"/>
      <c r="G27" s="1">
        <v>2</v>
      </c>
      <c r="H27" s="1"/>
      <c r="I27" s="5">
        <f t="shared" si="0"/>
        <v>71641.315789473694</v>
      </c>
      <c r="J27" s="1"/>
      <c r="K27" s="1" t="s">
        <v>25</v>
      </c>
      <c r="L27" s="1"/>
      <c r="M27" s="4">
        <f t="shared" si="1"/>
        <v>71641.315789473694</v>
      </c>
      <c r="N27" s="2">
        <v>579</v>
      </c>
    </row>
    <row r="28" spans="1:14" x14ac:dyDescent="0.4">
      <c r="A28" s="1">
        <v>500203</v>
      </c>
      <c r="B28" s="1"/>
      <c r="C28" s="1"/>
      <c r="D28" s="1"/>
      <c r="E28" s="1"/>
      <c r="F28" s="1"/>
      <c r="G28" s="1">
        <v>3</v>
      </c>
      <c r="H28" s="1"/>
      <c r="I28" s="5">
        <f t="shared" si="0"/>
        <v>71641.315789473694</v>
      </c>
      <c r="J28" s="1"/>
      <c r="K28" s="1" t="s">
        <v>25</v>
      </c>
      <c r="L28" s="1"/>
      <c r="M28" s="4">
        <f t="shared" si="1"/>
        <v>71641.315789473694</v>
      </c>
      <c r="N28" s="2">
        <v>579</v>
      </c>
    </row>
    <row r="29" spans="1:14" x14ac:dyDescent="0.4">
      <c r="A29" s="1">
        <v>500204</v>
      </c>
      <c r="B29" s="1"/>
      <c r="C29" s="1"/>
      <c r="D29" s="1"/>
      <c r="E29" s="1"/>
      <c r="F29" s="1"/>
      <c r="G29" s="1">
        <v>4</v>
      </c>
      <c r="H29" s="1"/>
      <c r="I29" s="5">
        <f t="shared" si="0"/>
        <v>71641.315789473694</v>
      </c>
      <c r="J29" s="1"/>
      <c r="K29" s="1" t="s">
        <v>25</v>
      </c>
      <c r="L29" s="1"/>
      <c r="M29" s="4">
        <f t="shared" si="1"/>
        <v>71641.315789473694</v>
      </c>
      <c r="N29" s="2">
        <v>579</v>
      </c>
    </row>
    <row r="30" spans="1:14" x14ac:dyDescent="0.4">
      <c r="A30" s="1">
        <v>500205</v>
      </c>
      <c r="B30" s="1"/>
      <c r="C30" s="1"/>
      <c r="D30" s="1"/>
      <c r="E30" s="1"/>
      <c r="F30" s="1"/>
      <c r="G30" s="1">
        <v>5</v>
      </c>
      <c r="H30" s="1"/>
      <c r="I30" s="5">
        <f t="shared" si="0"/>
        <v>71641.315789473694</v>
      </c>
      <c r="J30" s="1"/>
      <c r="K30" s="1" t="s">
        <v>25</v>
      </c>
      <c r="L30" s="1"/>
      <c r="M30" s="4">
        <f t="shared" si="1"/>
        <v>71641.315789473694</v>
      </c>
      <c r="N30" s="2">
        <v>579</v>
      </c>
    </row>
    <row r="31" spans="1:14" x14ac:dyDescent="0.4">
      <c r="A31" s="1">
        <v>500206</v>
      </c>
      <c r="B31" s="1"/>
      <c r="C31" s="1"/>
      <c r="D31" s="1"/>
      <c r="E31" s="1"/>
      <c r="F31" s="1"/>
      <c r="G31" s="1">
        <v>6</v>
      </c>
      <c r="H31" s="1"/>
      <c r="I31" s="5">
        <f t="shared" si="0"/>
        <v>71641.315789473694</v>
      </c>
      <c r="J31" s="1"/>
      <c r="K31" s="1" t="s">
        <v>25</v>
      </c>
      <c r="L31" s="1"/>
      <c r="M31" s="4">
        <f t="shared" si="1"/>
        <v>71641.315789473694</v>
      </c>
      <c r="N31" s="2">
        <v>579</v>
      </c>
    </row>
    <row r="32" spans="1:14" x14ac:dyDescent="0.4">
      <c r="A32" s="1">
        <v>500207</v>
      </c>
      <c r="B32" s="1"/>
      <c r="C32" s="1"/>
      <c r="D32" s="1"/>
      <c r="E32" s="1"/>
      <c r="F32" s="1"/>
      <c r="G32" s="1">
        <v>7</v>
      </c>
      <c r="H32" s="1"/>
      <c r="I32" s="5">
        <f t="shared" si="0"/>
        <v>71641.315789473694</v>
      </c>
      <c r="J32" s="1"/>
      <c r="K32" s="1" t="s">
        <v>25</v>
      </c>
      <c r="L32" s="1"/>
      <c r="M32" s="4">
        <f t="shared" si="1"/>
        <v>71641.315789473694</v>
      </c>
      <c r="N32" s="2">
        <v>579</v>
      </c>
    </row>
    <row r="33" spans="1:14" x14ac:dyDescent="0.4">
      <c r="A33" s="1">
        <v>500208</v>
      </c>
      <c r="B33" s="1"/>
      <c r="C33" s="1"/>
      <c r="D33" s="1"/>
      <c r="E33" s="1"/>
      <c r="F33" s="1"/>
      <c r="G33" s="1">
        <v>8</v>
      </c>
      <c r="H33" s="1"/>
      <c r="I33" s="5">
        <f t="shared" si="0"/>
        <v>71641.315789473694</v>
      </c>
      <c r="J33" s="1"/>
      <c r="K33" s="1" t="s">
        <v>25</v>
      </c>
      <c r="L33" s="1"/>
      <c r="M33" s="4">
        <f t="shared" si="1"/>
        <v>71641.315789473694</v>
      </c>
      <c r="N33" s="2">
        <v>579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105B3-D1AB-4524-9EC3-00B6BED1E5F9}">
  <dimension ref="A1:N17"/>
  <sheetViews>
    <sheetView topLeftCell="D1" workbookViewId="0">
      <selection activeCell="H19" sqref="H19"/>
    </sheetView>
  </sheetViews>
  <sheetFormatPr defaultRowHeight="14.6" x14ac:dyDescent="0.4"/>
  <cols>
    <col min="1" max="2" width="9.23046875" style="2"/>
    <col min="3" max="3" width="42" style="2" bestFit="1" customWidth="1"/>
    <col min="4" max="5" width="9.23046875" style="2"/>
    <col min="6" max="6" width="60.53515625" style="2" bestFit="1" customWidth="1"/>
    <col min="7" max="8" width="11.69140625" style="2" customWidth="1"/>
    <col min="9" max="9" width="17.61328125" style="2" customWidth="1"/>
    <col min="10" max="11" width="9.23046875" style="2"/>
    <col min="12" max="12" width="10.07421875" style="2" bestFit="1" customWidth="1"/>
    <col min="13" max="13" width="12.765625" style="2" bestFit="1" customWidth="1"/>
    <col min="14" max="16384" width="9.23046875" style="2"/>
  </cols>
  <sheetData>
    <row r="1" spans="1:14" x14ac:dyDescent="0.4">
      <c r="A1" s="1" t="s">
        <v>10</v>
      </c>
      <c r="B1" s="1" t="s">
        <v>2</v>
      </c>
      <c r="C1" s="1" t="s">
        <v>0</v>
      </c>
      <c r="D1" s="1" t="s">
        <v>8</v>
      </c>
      <c r="E1" s="1" t="s">
        <v>9</v>
      </c>
      <c r="F1" s="1" t="s">
        <v>12</v>
      </c>
      <c r="G1" s="1" t="s">
        <v>19</v>
      </c>
      <c r="H1" s="1" t="s">
        <v>20</v>
      </c>
      <c r="I1" s="1" t="s">
        <v>1</v>
      </c>
      <c r="J1" s="1" t="s">
        <v>3</v>
      </c>
      <c r="K1" s="1" t="s">
        <v>28</v>
      </c>
      <c r="L1" s="1" t="s">
        <v>27</v>
      </c>
    </row>
    <row r="2" spans="1:14" x14ac:dyDescent="0.4">
      <c r="A2" s="1">
        <v>600001</v>
      </c>
      <c r="B2" s="1" t="s">
        <v>29</v>
      </c>
      <c r="C2" s="1" t="s">
        <v>34</v>
      </c>
      <c r="D2" s="1" t="s">
        <v>6</v>
      </c>
      <c r="E2" s="1" t="s">
        <v>30</v>
      </c>
      <c r="F2" s="1" t="s">
        <v>31</v>
      </c>
      <c r="G2" s="1">
        <v>7</v>
      </c>
      <c r="H2" s="1">
        <v>40</v>
      </c>
      <c r="I2" s="5">
        <f>M2</f>
        <v>176175.5263157895</v>
      </c>
      <c r="J2" s="1"/>
      <c r="K2" s="1" t="s">
        <v>25</v>
      </c>
      <c r="L2" s="1"/>
      <c r="M2" s="4">
        <f>(N2*75+N2*75*0.01+12500+4200)/0.95</f>
        <v>176175.5263157895</v>
      </c>
      <c r="N2" s="2">
        <v>1989</v>
      </c>
    </row>
    <row r="3" spans="1:14" x14ac:dyDescent="0.4">
      <c r="A3" s="1">
        <v>600002</v>
      </c>
      <c r="B3" s="1"/>
      <c r="D3" s="1"/>
      <c r="E3" s="1"/>
      <c r="F3" s="1"/>
      <c r="G3" s="3">
        <v>7.5</v>
      </c>
      <c r="H3" s="1">
        <v>40.5</v>
      </c>
      <c r="I3" s="5">
        <f t="shared" ref="I3:I17" si="0">M3</f>
        <v>192920.26315789475</v>
      </c>
      <c r="J3" s="1"/>
      <c r="K3" s="1" t="s">
        <v>25</v>
      </c>
      <c r="L3" s="1"/>
      <c r="M3" s="4">
        <f t="shared" ref="M3:M17" si="1">(N3*75+N3*75*0.01+12500+4200)/0.95</f>
        <v>192920.26315789475</v>
      </c>
      <c r="N3" s="2">
        <v>2199</v>
      </c>
    </row>
    <row r="4" spans="1:14" x14ac:dyDescent="0.4">
      <c r="A4" s="1">
        <v>600003</v>
      </c>
      <c r="B4" s="1"/>
      <c r="C4" s="1"/>
      <c r="D4" s="1"/>
      <c r="E4" s="1"/>
      <c r="F4" s="1"/>
      <c r="G4" s="1">
        <v>8</v>
      </c>
      <c r="H4" s="1">
        <v>41.5</v>
      </c>
      <c r="I4" s="5">
        <f t="shared" si="0"/>
        <v>17578.947368421053</v>
      </c>
      <c r="J4" s="1"/>
      <c r="K4" s="1" t="s">
        <v>32</v>
      </c>
      <c r="L4" s="1"/>
      <c r="M4" s="4">
        <f t="shared" si="1"/>
        <v>17578.947368421053</v>
      </c>
    </row>
    <row r="5" spans="1:14" x14ac:dyDescent="0.4">
      <c r="A5" s="1">
        <v>600004</v>
      </c>
      <c r="B5" s="1"/>
      <c r="C5" s="1"/>
      <c r="D5" s="1"/>
      <c r="E5" s="1"/>
      <c r="F5" s="1"/>
      <c r="G5" s="1">
        <v>8.5</v>
      </c>
      <c r="H5" s="1">
        <v>42</v>
      </c>
      <c r="I5" s="5">
        <f t="shared" si="0"/>
        <v>261493.94736842107</v>
      </c>
      <c r="J5" s="1"/>
      <c r="K5" s="1" t="s">
        <v>25</v>
      </c>
      <c r="L5" s="1"/>
      <c r="M5" s="4">
        <f t="shared" si="1"/>
        <v>261493.94736842107</v>
      </c>
      <c r="N5" s="2">
        <v>3059</v>
      </c>
    </row>
    <row r="6" spans="1:14" x14ac:dyDescent="0.4">
      <c r="A6" s="1">
        <v>600005</v>
      </c>
      <c r="B6" s="1"/>
      <c r="C6" s="1"/>
      <c r="D6" s="1"/>
      <c r="E6" s="1"/>
      <c r="F6" s="1"/>
      <c r="G6" s="1">
        <v>9</v>
      </c>
      <c r="H6" s="1">
        <v>42.5</v>
      </c>
      <c r="I6" s="5">
        <f t="shared" si="0"/>
        <v>192920.26315789475</v>
      </c>
      <c r="J6" s="1"/>
      <c r="K6" s="1" t="s">
        <v>25</v>
      </c>
      <c r="L6" s="1"/>
      <c r="M6" s="4">
        <f t="shared" si="1"/>
        <v>192920.26315789475</v>
      </c>
      <c r="N6" s="2">
        <v>2199</v>
      </c>
    </row>
    <row r="7" spans="1:14" x14ac:dyDescent="0.4">
      <c r="A7" s="1">
        <v>600006</v>
      </c>
      <c r="B7" s="1"/>
      <c r="C7" s="1"/>
      <c r="D7" s="1"/>
      <c r="E7" s="1"/>
      <c r="F7" s="1"/>
      <c r="G7" s="1">
        <v>9.5</v>
      </c>
      <c r="H7" s="1">
        <v>43.5</v>
      </c>
      <c r="I7" s="5">
        <f t="shared" si="0"/>
        <v>208867.63157894739</v>
      </c>
      <c r="J7" s="1"/>
      <c r="K7" s="1" t="s">
        <v>25</v>
      </c>
      <c r="L7" s="1"/>
      <c r="M7" s="4">
        <f t="shared" si="1"/>
        <v>208867.63157894739</v>
      </c>
      <c r="N7" s="2">
        <v>2399</v>
      </c>
    </row>
    <row r="8" spans="1:14" x14ac:dyDescent="0.4">
      <c r="A8" s="1">
        <v>600007</v>
      </c>
      <c r="B8" s="1"/>
      <c r="C8" s="1"/>
      <c r="D8" s="1"/>
      <c r="E8" s="1"/>
      <c r="F8" s="1"/>
      <c r="G8" s="1">
        <v>10</v>
      </c>
      <c r="H8" s="1">
        <v>44</v>
      </c>
      <c r="I8" s="5">
        <f t="shared" si="0"/>
        <v>200893.94736842107</v>
      </c>
      <c r="J8" s="1"/>
      <c r="K8" s="1" t="s">
        <v>25</v>
      </c>
      <c r="L8" s="1"/>
      <c r="M8" s="4">
        <f t="shared" si="1"/>
        <v>200893.94736842107</v>
      </c>
      <c r="N8" s="2">
        <v>2299</v>
      </c>
    </row>
    <row r="9" spans="1:14" x14ac:dyDescent="0.4">
      <c r="A9" s="1">
        <v>600008</v>
      </c>
      <c r="B9" s="1"/>
      <c r="C9" s="1"/>
      <c r="D9" s="1"/>
      <c r="E9" s="1"/>
      <c r="F9" s="1"/>
      <c r="G9" s="1">
        <v>10.5</v>
      </c>
      <c r="H9" s="1">
        <v>44.5</v>
      </c>
      <c r="I9" s="5">
        <f t="shared" si="0"/>
        <v>208867.63157894739</v>
      </c>
      <c r="J9" s="1"/>
      <c r="K9" s="1" t="s">
        <v>25</v>
      </c>
      <c r="L9" s="1"/>
      <c r="M9" s="4">
        <f t="shared" si="1"/>
        <v>208867.63157894739</v>
      </c>
      <c r="N9" s="2">
        <v>2399</v>
      </c>
    </row>
    <row r="10" spans="1:14" x14ac:dyDescent="0.4">
      <c r="A10" s="1">
        <v>600009</v>
      </c>
      <c r="B10" s="1"/>
      <c r="C10" s="1" t="s">
        <v>33</v>
      </c>
      <c r="D10" s="1"/>
      <c r="E10" s="1" t="s">
        <v>30</v>
      </c>
      <c r="F10" s="1" t="s">
        <v>35</v>
      </c>
      <c r="G10" s="1">
        <v>7</v>
      </c>
      <c r="H10" s="1">
        <v>40</v>
      </c>
      <c r="I10" s="5">
        <f t="shared" si="0"/>
        <v>154885.78947368421</v>
      </c>
      <c r="J10" s="1"/>
      <c r="K10" s="1" t="s">
        <v>25</v>
      </c>
      <c r="L10" s="1"/>
      <c r="M10" s="4">
        <f t="shared" si="1"/>
        <v>154885.78947368421</v>
      </c>
      <c r="N10" s="2">
        <v>1722</v>
      </c>
    </row>
    <row r="11" spans="1:14" x14ac:dyDescent="0.4">
      <c r="A11" s="1">
        <v>600010</v>
      </c>
      <c r="B11" s="1"/>
      <c r="C11" s="1"/>
      <c r="D11" s="1"/>
      <c r="E11" s="1"/>
      <c r="F11" s="1"/>
      <c r="G11" s="1">
        <v>7.5</v>
      </c>
      <c r="H11" s="1">
        <v>40.5</v>
      </c>
      <c r="I11" s="5">
        <f t="shared" si="0"/>
        <v>130566.05263157895</v>
      </c>
      <c r="J11" s="1"/>
      <c r="K11" s="1" t="s">
        <v>25</v>
      </c>
      <c r="L11" s="1"/>
      <c r="M11" s="4">
        <f t="shared" si="1"/>
        <v>130566.05263157895</v>
      </c>
      <c r="N11" s="2">
        <v>1417</v>
      </c>
    </row>
    <row r="12" spans="1:14" x14ac:dyDescent="0.4">
      <c r="A12" s="1">
        <v>600011</v>
      </c>
      <c r="B12" s="1"/>
      <c r="C12" s="1"/>
      <c r="D12" s="1"/>
      <c r="E12" s="1"/>
      <c r="F12" s="1"/>
      <c r="G12" s="1">
        <v>8</v>
      </c>
      <c r="H12" s="1">
        <v>41.5</v>
      </c>
      <c r="I12" s="5">
        <f t="shared" si="0"/>
        <v>138380.26315789475</v>
      </c>
      <c r="J12" s="1"/>
      <c r="K12" s="1" t="s">
        <v>25</v>
      </c>
      <c r="L12" s="1"/>
      <c r="M12" s="4">
        <f t="shared" si="1"/>
        <v>138380.26315789475</v>
      </c>
      <c r="N12" s="2">
        <v>1515</v>
      </c>
    </row>
    <row r="13" spans="1:14" x14ac:dyDescent="0.4">
      <c r="A13" s="1">
        <v>600012</v>
      </c>
      <c r="B13" s="1"/>
      <c r="C13" s="1"/>
      <c r="D13" s="1"/>
      <c r="E13" s="1"/>
      <c r="F13" s="1"/>
      <c r="G13" s="1">
        <v>8.5</v>
      </c>
      <c r="H13" s="1">
        <v>42</v>
      </c>
      <c r="I13" s="5">
        <f t="shared" si="0"/>
        <v>138699.21052631579</v>
      </c>
      <c r="J13" s="1"/>
      <c r="K13" s="1" t="s">
        <v>25</v>
      </c>
      <c r="L13" s="1"/>
      <c r="M13" s="4">
        <f t="shared" si="1"/>
        <v>138699.21052631579</v>
      </c>
      <c r="N13" s="2">
        <v>1519</v>
      </c>
    </row>
    <row r="14" spans="1:14" x14ac:dyDescent="0.4">
      <c r="A14" s="1">
        <v>600013</v>
      </c>
      <c r="B14" s="1"/>
      <c r="C14" s="1"/>
      <c r="D14" s="1"/>
      <c r="E14" s="1"/>
      <c r="F14" s="1"/>
      <c r="G14" s="1">
        <v>9</v>
      </c>
      <c r="H14" s="1">
        <v>42.5</v>
      </c>
      <c r="I14" s="5">
        <f t="shared" si="0"/>
        <v>133994.73684210528</v>
      </c>
      <c r="J14" s="1"/>
      <c r="K14" s="1" t="s">
        <v>25</v>
      </c>
      <c r="L14" s="1"/>
      <c r="M14" s="4">
        <f t="shared" si="1"/>
        <v>133994.73684210528</v>
      </c>
      <c r="N14" s="2">
        <v>1460</v>
      </c>
    </row>
    <row r="15" spans="1:14" x14ac:dyDescent="0.4">
      <c r="A15" s="1">
        <v>600014</v>
      </c>
      <c r="B15" s="1"/>
      <c r="C15" s="1"/>
      <c r="D15" s="1"/>
      <c r="E15" s="1"/>
      <c r="F15" s="1"/>
      <c r="G15" s="1">
        <v>9.5</v>
      </c>
      <c r="H15" s="1">
        <v>43.5</v>
      </c>
      <c r="I15" s="5">
        <f t="shared" si="0"/>
        <v>140293.94736842107</v>
      </c>
      <c r="J15" s="1"/>
      <c r="K15" s="1" t="s">
        <v>25</v>
      </c>
      <c r="L15" s="1"/>
      <c r="M15" s="4">
        <f t="shared" si="1"/>
        <v>140293.94736842107</v>
      </c>
      <c r="N15" s="2">
        <v>1539</v>
      </c>
    </row>
    <row r="16" spans="1:14" x14ac:dyDescent="0.4">
      <c r="A16" s="1">
        <v>600015</v>
      </c>
      <c r="B16" s="1"/>
      <c r="C16" s="1"/>
      <c r="D16" s="1"/>
      <c r="E16" s="1"/>
      <c r="F16" s="1"/>
      <c r="G16" s="1">
        <v>10</v>
      </c>
      <c r="H16" s="1">
        <v>44</v>
      </c>
      <c r="I16" s="5">
        <f t="shared" si="0"/>
        <v>138380.26315789475</v>
      </c>
      <c r="J16" s="1"/>
      <c r="K16" s="1" t="s">
        <v>25</v>
      </c>
      <c r="L16" s="1"/>
      <c r="M16" s="4">
        <f t="shared" si="1"/>
        <v>138380.26315789475</v>
      </c>
      <c r="N16" s="2">
        <v>1515</v>
      </c>
    </row>
    <row r="17" spans="1:14" x14ac:dyDescent="0.4">
      <c r="A17" s="1">
        <v>600016</v>
      </c>
      <c r="B17" s="1"/>
      <c r="C17" s="1"/>
      <c r="D17" s="1"/>
      <c r="E17" s="1"/>
      <c r="F17" s="1"/>
      <c r="G17" s="1">
        <v>10.5</v>
      </c>
      <c r="H17" s="1">
        <v>44.5</v>
      </c>
      <c r="I17" s="5">
        <f t="shared" si="0"/>
        <v>136626.05263157896</v>
      </c>
      <c r="J17" s="1"/>
      <c r="K17" s="1" t="s">
        <v>25</v>
      </c>
      <c r="L17" s="1"/>
      <c r="M17" s="4">
        <f t="shared" si="1"/>
        <v>136626.05263157896</v>
      </c>
      <c r="N17" s="2">
        <v>1493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F729F-C529-4664-B380-6B3D1560D1EA}">
  <dimension ref="A1:N17"/>
  <sheetViews>
    <sheetView topLeftCell="D1" workbookViewId="0">
      <selection activeCell="H2" sqref="H2"/>
    </sheetView>
  </sheetViews>
  <sheetFormatPr defaultRowHeight="14.6" x14ac:dyDescent="0.4"/>
  <cols>
    <col min="2" max="2" width="15.15234375" bestFit="1" customWidth="1"/>
    <col min="3" max="3" width="42" bestFit="1" customWidth="1"/>
    <col min="6" max="6" width="60.53515625" bestFit="1" customWidth="1"/>
    <col min="7" max="8" width="9.23046875" style="2"/>
  </cols>
  <sheetData>
    <row r="1" spans="1:14" x14ac:dyDescent="0.4">
      <c r="A1" s="1" t="s">
        <v>10</v>
      </c>
      <c r="B1" s="1" t="s">
        <v>2</v>
      </c>
      <c r="C1" s="1" t="s">
        <v>0</v>
      </c>
      <c r="D1" s="1" t="s">
        <v>8</v>
      </c>
      <c r="E1" s="1" t="s">
        <v>9</v>
      </c>
      <c r="F1" s="1" t="s">
        <v>12</v>
      </c>
      <c r="G1" s="1" t="s">
        <v>19</v>
      </c>
      <c r="H1" s="1" t="s">
        <v>20</v>
      </c>
      <c r="I1" s="1" t="s">
        <v>1</v>
      </c>
      <c r="J1" s="1" t="s">
        <v>3</v>
      </c>
      <c r="K1" s="1" t="s">
        <v>28</v>
      </c>
      <c r="L1" s="1" t="s">
        <v>27</v>
      </c>
      <c r="M1" s="2"/>
      <c r="N1" s="2"/>
    </row>
    <row r="2" spans="1:14" x14ac:dyDescent="0.4">
      <c r="A2" s="1">
        <v>700001</v>
      </c>
      <c r="B2" s="1" t="s">
        <v>36</v>
      </c>
      <c r="C2" s="1" t="s">
        <v>39</v>
      </c>
      <c r="D2" s="1" t="s">
        <v>38</v>
      </c>
      <c r="E2" s="1" t="s">
        <v>7</v>
      </c>
      <c r="F2" s="1" t="s">
        <v>37</v>
      </c>
      <c r="G2" s="1">
        <v>6.5</v>
      </c>
      <c r="H2" s="1">
        <v>38.5</v>
      </c>
      <c r="I2" s="5">
        <f>M2</f>
        <v>121157.10526315789</v>
      </c>
      <c r="J2" s="1"/>
      <c r="K2" s="1" t="s">
        <v>25</v>
      </c>
      <c r="L2" s="1"/>
      <c r="M2" s="4">
        <f>(N2*75+N2*75*0.01+12500+4200)/0.95</f>
        <v>121157.10526315789</v>
      </c>
      <c r="N2" s="2">
        <v>1299</v>
      </c>
    </row>
    <row r="3" spans="1:14" x14ac:dyDescent="0.4">
      <c r="A3" s="1">
        <v>700002</v>
      </c>
      <c r="B3" s="1"/>
      <c r="C3" s="2"/>
      <c r="D3" s="1"/>
      <c r="E3" s="1"/>
      <c r="F3" s="1"/>
      <c r="G3" s="1">
        <v>7</v>
      </c>
      <c r="H3" s="1">
        <v>39</v>
      </c>
      <c r="I3" s="5">
        <f t="shared" ref="I3:I10" si="0">M3</f>
        <v>113183.42105263159</v>
      </c>
      <c r="J3" s="1"/>
      <c r="K3" s="1" t="s">
        <v>25</v>
      </c>
      <c r="L3" s="1"/>
      <c r="M3" s="4">
        <f t="shared" ref="M3:M10" si="1">(N3*75+N3*75*0.01+12500+4200)/0.95</f>
        <v>113183.42105263159</v>
      </c>
      <c r="N3" s="2">
        <v>1199</v>
      </c>
    </row>
    <row r="4" spans="1:14" x14ac:dyDescent="0.4">
      <c r="A4" s="1">
        <v>700003</v>
      </c>
      <c r="B4" s="1"/>
      <c r="C4" s="1"/>
      <c r="D4" s="1"/>
      <c r="E4" s="1"/>
      <c r="F4" s="1"/>
      <c r="G4" s="1">
        <v>7.5</v>
      </c>
      <c r="H4" s="1">
        <v>40</v>
      </c>
      <c r="I4" s="5">
        <f t="shared" si="0"/>
        <v>121157.10526315789</v>
      </c>
      <c r="J4" s="1"/>
      <c r="K4" s="1" t="s">
        <v>32</v>
      </c>
      <c r="L4" s="1"/>
      <c r="M4" s="4">
        <f t="shared" si="1"/>
        <v>121157.10526315789</v>
      </c>
      <c r="N4" s="2">
        <v>1299</v>
      </c>
    </row>
    <row r="5" spans="1:14" x14ac:dyDescent="0.4">
      <c r="A5" s="1">
        <v>700004</v>
      </c>
      <c r="B5" s="1"/>
      <c r="C5" s="1"/>
      <c r="D5" s="1"/>
      <c r="E5" s="1"/>
      <c r="F5" s="1"/>
      <c r="G5" s="1">
        <v>8</v>
      </c>
      <c r="H5" s="1">
        <v>40.5</v>
      </c>
      <c r="I5" s="5">
        <f t="shared" si="0"/>
        <v>121157.10526315789</v>
      </c>
      <c r="J5" s="1"/>
      <c r="K5" s="1" t="s">
        <v>25</v>
      </c>
      <c r="L5" s="1"/>
      <c r="M5" s="4">
        <f t="shared" si="1"/>
        <v>121157.10526315789</v>
      </c>
      <c r="N5" s="2">
        <v>1299</v>
      </c>
    </row>
    <row r="6" spans="1:14" x14ac:dyDescent="0.4">
      <c r="A6" s="1">
        <v>700005</v>
      </c>
      <c r="B6" s="1"/>
      <c r="C6" s="1"/>
      <c r="D6" s="1"/>
      <c r="E6" s="1"/>
      <c r="F6" s="1"/>
      <c r="G6" s="1">
        <v>8.5</v>
      </c>
      <c r="H6" s="1">
        <v>41</v>
      </c>
      <c r="I6" s="5">
        <f t="shared" si="0"/>
        <v>113183.42105263159</v>
      </c>
      <c r="J6" s="1"/>
      <c r="K6" s="1" t="s">
        <v>25</v>
      </c>
      <c r="L6" s="1"/>
      <c r="M6" s="4">
        <f t="shared" si="1"/>
        <v>113183.42105263159</v>
      </c>
      <c r="N6" s="2">
        <v>1199</v>
      </c>
    </row>
    <row r="7" spans="1:14" x14ac:dyDescent="0.4">
      <c r="A7" s="1">
        <v>700006</v>
      </c>
      <c r="B7" s="1"/>
      <c r="C7" s="1"/>
      <c r="D7" s="1"/>
      <c r="E7" s="1"/>
      <c r="F7" s="1"/>
      <c r="G7" s="1">
        <v>9</v>
      </c>
      <c r="H7" s="1">
        <v>42</v>
      </c>
      <c r="I7" s="5">
        <f t="shared" si="0"/>
        <v>113183.42105263159</v>
      </c>
      <c r="J7" s="1"/>
      <c r="K7" s="1" t="s">
        <v>25</v>
      </c>
      <c r="L7" s="1"/>
      <c r="M7" s="4">
        <f t="shared" si="1"/>
        <v>113183.42105263159</v>
      </c>
      <c r="N7" s="2">
        <v>1199</v>
      </c>
    </row>
    <row r="8" spans="1:14" x14ac:dyDescent="0.4">
      <c r="A8" s="1">
        <v>700007</v>
      </c>
      <c r="B8" s="1"/>
      <c r="C8" s="1"/>
      <c r="D8" s="1"/>
      <c r="E8" s="1"/>
      <c r="F8" s="1"/>
      <c r="G8" s="1">
        <v>9.5</v>
      </c>
      <c r="H8" s="1">
        <v>42.5</v>
      </c>
      <c r="I8" s="5">
        <f t="shared" si="0"/>
        <v>118366.31578947369</v>
      </c>
      <c r="J8" s="1"/>
      <c r="K8" s="1" t="s">
        <v>25</v>
      </c>
      <c r="L8" s="1"/>
      <c r="M8" s="4">
        <f t="shared" si="1"/>
        <v>118366.31578947369</v>
      </c>
      <c r="N8" s="2">
        <v>1264</v>
      </c>
    </row>
    <row r="9" spans="1:14" x14ac:dyDescent="0.4">
      <c r="A9" s="1">
        <v>700008</v>
      </c>
      <c r="B9" s="1"/>
      <c r="C9" s="1"/>
      <c r="D9" s="1"/>
      <c r="E9" s="1"/>
      <c r="F9" s="1"/>
      <c r="G9" s="1">
        <v>10</v>
      </c>
      <c r="H9" s="1">
        <v>43</v>
      </c>
      <c r="I9" s="5">
        <f t="shared" si="0"/>
        <v>103615</v>
      </c>
      <c r="J9" s="1"/>
      <c r="K9" s="1" t="s">
        <v>25</v>
      </c>
      <c r="L9" s="1"/>
      <c r="M9" s="4">
        <f t="shared" si="1"/>
        <v>103615</v>
      </c>
      <c r="N9" s="2">
        <v>1079</v>
      </c>
    </row>
    <row r="10" spans="1:14" x14ac:dyDescent="0.4">
      <c r="A10" s="1">
        <v>700009</v>
      </c>
      <c r="B10" s="1"/>
      <c r="C10" s="1"/>
      <c r="D10" s="1"/>
      <c r="E10" s="1"/>
      <c r="F10" s="1"/>
      <c r="G10" s="1">
        <v>10.5</v>
      </c>
      <c r="H10" s="1">
        <v>44</v>
      </c>
      <c r="I10" s="5">
        <f t="shared" si="0"/>
        <v>118366.31578947369</v>
      </c>
      <c r="J10" s="1"/>
      <c r="K10" s="1" t="s">
        <v>25</v>
      </c>
      <c r="L10" s="1"/>
      <c r="M10" s="4">
        <f t="shared" si="1"/>
        <v>118366.31578947369</v>
      </c>
      <c r="N10" s="2">
        <v>1264</v>
      </c>
    </row>
    <row r="11" spans="1:14" x14ac:dyDescent="0.4">
      <c r="A11" s="1">
        <v>700010</v>
      </c>
      <c r="B11" s="1"/>
      <c r="C11" s="1"/>
      <c r="D11" s="1"/>
      <c r="E11" s="1"/>
      <c r="F11" s="1"/>
      <c r="G11" s="1"/>
      <c r="H11" s="1"/>
      <c r="I11" s="5"/>
      <c r="J11" s="1"/>
      <c r="K11" s="1"/>
      <c r="L11" s="1"/>
      <c r="M11" s="4"/>
      <c r="N11" s="2"/>
    </row>
    <row r="12" spans="1:14" x14ac:dyDescent="0.4">
      <c r="A12" s="1">
        <v>700011</v>
      </c>
      <c r="B12" s="1"/>
      <c r="C12" s="1"/>
      <c r="D12" s="1"/>
      <c r="E12" s="1"/>
      <c r="F12" s="1"/>
      <c r="G12" s="1"/>
      <c r="H12" s="1"/>
      <c r="I12" s="5"/>
      <c r="J12" s="1"/>
      <c r="K12" s="1"/>
      <c r="L12" s="1"/>
      <c r="M12" s="4"/>
      <c r="N12" s="2"/>
    </row>
    <row r="13" spans="1:14" x14ac:dyDescent="0.4">
      <c r="A13" s="1">
        <v>700012</v>
      </c>
      <c r="B13" s="1"/>
      <c r="C13" s="1"/>
      <c r="D13" s="1"/>
      <c r="E13" s="1"/>
      <c r="F13" s="1"/>
      <c r="G13" s="1"/>
      <c r="H13" s="1"/>
      <c r="I13" s="5"/>
      <c r="J13" s="1"/>
      <c r="K13" s="1"/>
      <c r="L13" s="1"/>
      <c r="M13" s="4"/>
      <c r="N13" s="2"/>
    </row>
    <row r="14" spans="1:14" x14ac:dyDescent="0.4">
      <c r="A14" s="1">
        <v>700013</v>
      </c>
      <c r="B14" s="1"/>
      <c r="C14" s="1"/>
      <c r="D14" s="1"/>
      <c r="E14" s="1"/>
      <c r="F14" s="1"/>
      <c r="G14" s="1"/>
      <c r="H14" s="1"/>
      <c r="I14" s="5"/>
      <c r="J14" s="1"/>
      <c r="K14" s="1"/>
      <c r="L14" s="1"/>
      <c r="M14" s="4"/>
      <c r="N14" s="2"/>
    </row>
    <row r="15" spans="1:14" x14ac:dyDescent="0.4">
      <c r="A15" s="1">
        <v>700014</v>
      </c>
      <c r="B15" s="1"/>
      <c r="C15" s="1"/>
      <c r="D15" s="1"/>
      <c r="E15" s="1"/>
      <c r="F15" s="1"/>
      <c r="G15" s="1"/>
      <c r="H15" s="1"/>
      <c r="I15" s="5"/>
      <c r="J15" s="1"/>
      <c r="K15" s="1"/>
      <c r="L15" s="1"/>
      <c r="M15" s="4"/>
      <c r="N15" s="2"/>
    </row>
    <row r="16" spans="1:14" x14ac:dyDescent="0.4">
      <c r="A16" s="1">
        <v>700015</v>
      </c>
      <c r="B16" s="1"/>
      <c r="C16" s="1"/>
      <c r="D16" s="1"/>
      <c r="E16" s="1"/>
      <c r="F16" s="1"/>
      <c r="G16" s="1"/>
      <c r="H16" s="1"/>
      <c r="I16" s="5"/>
      <c r="J16" s="1"/>
      <c r="K16" s="1"/>
      <c r="L16" s="1"/>
      <c r="M16" s="4"/>
      <c r="N16" s="2"/>
    </row>
    <row r="17" spans="1:14" x14ac:dyDescent="0.4">
      <c r="A17" s="1">
        <v>700016</v>
      </c>
      <c r="B17" s="1"/>
      <c r="C17" s="1"/>
      <c r="D17" s="1"/>
      <c r="E17" s="1"/>
      <c r="F17" s="1"/>
      <c r="G17" s="1"/>
      <c r="H17" s="1"/>
      <c r="I17" s="5"/>
      <c r="J17" s="1"/>
      <c r="K17" s="1"/>
      <c r="L17" s="1"/>
      <c r="M17" s="4"/>
      <c r="N17"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FF6B0-2ED8-40AD-89AB-0D56B3E2506F}">
  <dimension ref="A1:N17"/>
  <sheetViews>
    <sheetView workbookViewId="0">
      <selection activeCell="J16" sqref="J16"/>
    </sheetView>
  </sheetViews>
  <sheetFormatPr defaultRowHeight="14.6" x14ac:dyDescent="0.4"/>
  <cols>
    <col min="2" max="2" width="15.15234375" bestFit="1" customWidth="1"/>
    <col min="3" max="3" width="42" bestFit="1" customWidth="1"/>
    <col min="6" max="6" width="60.53515625" bestFit="1" customWidth="1"/>
    <col min="7" max="8" width="9.23046875" style="2"/>
  </cols>
  <sheetData>
    <row r="1" spans="1:14" x14ac:dyDescent="0.4">
      <c r="A1" s="1" t="s">
        <v>10</v>
      </c>
      <c r="B1" s="1" t="s">
        <v>2</v>
      </c>
      <c r="C1" s="1" t="s">
        <v>0</v>
      </c>
      <c r="D1" s="1" t="s">
        <v>8</v>
      </c>
      <c r="E1" s="1" t="s">
        <v>9</v>
      </c>
      <c r="F1" s="1" t="s">
        <v>12</v>
      </c>
      <c r="G1" s="1" t="s">
        <v>19</v>
      </c>
      <c r="H1" s="1" t="s">
        <v>20</v>
      </c>
      <c r="I1" s="1" t="s">
        <v>1</v>
      </c>
      <c r="J1" s="1" t="s">
        <v>3</v>
      </c>
      <c r="K1" s="1" t="s">
        <v>28</v>
      </c>
      <c r="L1" s="1" t="s">
        <v>27</v>
      </c>
      <c r="M1" s="2"/>
      <c r="N1" s="2"/>
    </row>
    <row r="2" spans="1:14" x14ac:dyDescent="0.4">
      <c r="A2" s="1">
        <v>800001</v>
      </c>
      <c r="B2" s="1" t="s">
        <v>40</v>
      </c>
      <c r="C2" s="1" t="s">
        <v>41</v>
      </c>
      <c r="D2" s="1" t="s">
        <v>6</v>
      </c>
      <c r="E2" s="1" t="s">
        <v>13</v>
      </c>
      <c r="F2" s="1" t="s">
        <v>42</v>
      </c>
      <c r="G2" s="1">
        <v>6.5</v>
      </c>
      <c r="H2" s="1">
        <v>39.5</v>
      </c>
      <c r="I2" s="5">
        <f>M2</f>
        <v>121157.10526315789</v>
      </c>
      <c r="J2" s="1"/>
      <c r="K2" s="1" t="s">
        <v>32</v>
      </c>
      <c r="L2" s="1"/>
      <c r="M2" s="4">
        <f>(N2*75+N2*75*0.01+12500+4200)/0.95</f>
        <v>121157.10526315789</v>
      </c>
      <c r="N2" s="2">
        <v>1299</v>
      </c>
    </row>
    <row r="3" spans="1:14" x14ac:dyDescent="0.4">
      <c r="A3" s="1">
        <v>800002</v>
      </c>
      <c r="B3" s="1"/>
      <c r="C3" s="2"/>
      <c r="D3" s="1"/>
      <c r="E3" s="1"/>
      <c r="F3" s="1"/>
      <c r="G3" s="1">
        <v>7</v>
      </c>
      <c r="H3" s="1">
        <v>40</v>
      </c>
      <c r="I3" s="5">
        <f t="shared" ref="I3:I10" si="0">M3</f>
        <v>78099.210526315786</v>
      </c>
      <c r="J3" s="1"/>
      <c r="K3" s="1" t="s">
        <v>25</v>
      </c>
      <c r="L3" s="1"/>
      <c r="M3" s="4">
        <f t="shared" ref="M3:M10" si="1">(N3*75+N3*75*0.01+12500+4200)/0.95</f>
        <v>78099.210526315786</v>
      </c>
      <c r="N3" s="2">
        <v>759</v>
      </c>
    </row>
    <row r="4" spans="1:14" x14ac:dyDescent="0.4">
      <c r="A4" s="1">
        <v>800003</v>
      </c>
      <c r="B4" s="1"/>
      <c r="C4" s="1"/>
      <c r="D4" s="1"/>
      <c r="E4" s="1"/>
      <c r="F4" s="1"/>
      <c r="G4" s="1">
        <v>7.5</v>
      </c>
      <c r="H4" s="1">
        <v>41</v>
      </c>
      <c r="I4" s="5">
        <f t="shared" si="0"/>
        <v>72278.421052631587</v>
      </c>
      <c r="J4" s="1"/>
      <c r="K4" s="1" t="s">
        <v>25</v>
      </c>
      <c r="L4" s="1"/>
      <c r="M4" s="4">
        <f t="shared" si="1"/>
        <v>72278.421052631587</v>
      </c>
      <c r="N4" s="2">
        <v>686</v>
      </c>
    </row>
    <row r="5" spans="1:14" x14ac:dyDescent="0.4">
      <c r="A5" s="1">
        <v>800004</v>
      </c>
      <c r="B5" s="1"/>
      <c r="C5" s="1"/>
      <c r="D5" s="1"/>
      <c r="E5" s="1"/>
      <c r="F5" s="1"/>
      <c r="G5" s="1">
        <v>8</v>
      </c>
      <c r="H5" s="1">
        <v>41.5</v>
      </c>
      <c r="I5" s="5">
        <f t="shared" si="0"/>
        <v>67733.421052631587</v>
      </c>
      <c r="J5" s="1"/>
      <c r="K5" s="1" t="s">
        <v>25</v>
      </c>
      <c r="L5" s="1"/>
      <c r="M5" s="4">
        <f t="shared" si="1"/>
        <v>67733.421052631587</v>
      </c>
      <c r="N5" s="2">
        <v>629</v>
      </c>
    </row>
    <row r="6" spans="1:14" x14ac:dyDescent="0.4">
      <c r="A6" s="1">
        <v>800005</v>
      </c>
      <c r="B6" s="1"/>
      <c r="C6" s="1"/>
      <c r="D6" s="1"/>
      <c r="E6" s="1"/>
      <c r="F6" s="1"/>
      <c r="G6" s="1">
        <v>8.5</v>
      </c>
      <c r="H6" s="1">
        <v>42</v>
      </c>
      <c r="I6" s="5">
        <f t="shared" si="0"/>
        <v>76504.473684210534</v>
      </c>
      <c r="J6" s="1"/>
      <c r="K6" s="1" t="s">
        <v>25</v>
      </c>
      <c r="L6" s="1"/>
      <c r="M6" s="4">
        <f t="shared" si="1"/>
        <v>76504.473684210534</v>
      </c>
      <c r="N6" s="2">
        <v>739</v>
      </c>
    </row>
    <row r="7" spans="1:14" x14ac:dyDescent="0.4">
      <c r="A7" s="1">
        <v>800006</v>
      </c>
      <c r="B7" s="1"/>
      <c r="C7" s="1"/>
      <c r="D7" s="1"/>
      <c r="E7" s="1"/>
      <c r="F7" s="1"/>
      <c r="G7" s="1">
        <v>9</v>
      </c>
      <c r="H7" s="1">
        <v>43</v>
      </c>
      <c r="I7" s="5">
        <f t="shared" si="0"/>
        <v>77301.84210526316</v>
      </c>
      <c r="J7" s="1"/>
      <c r="K7" s="1" t="s">
        <v>25</v>
      </c>
      <c r="L7" s="1"/>
      <c r="M7" s="4">
        <f t="shared" si="1"/>
        <v>77301.84210526316</v>
      </c>
      <c r="N7" s="2">
        <v>749</v>
      </c>
    </row>
    <row r="8" spans="1:14" x14ac:dyDescent="0.4">
      <c r="A8" s="1">
        <v>800007</v>
      </c>
      <c r="B8" s="1"/>
      <c r="C8" s="1"/>
      <c r="D8" s="1"/>
      <c r="E8" s="1"/>
      <c r="F8" s="1"/>
      <c r="G8" s="1">
        <v>9.5</v>
      </c>
      <c r="H8" s="1">
        <v>43.5</v>
      </c>
      <c r="I8" s="5">
        <f t="shared" si="0"/>
        <v>69647.105263157893</v>
      </c>
      <c r="J8" s="1"/>
      <c r="K8" s="1" t="s">
        <v>25</v>
      </c>
      <c r="L8" s="1"/>
      <c r="M8" s="4">
        <f t="shared" si="1"/>
        <v>69647.105263157893</v>
      </c>
      <c r="N8" s="2">
        <v>653</v>
      </c>
    </row>
    <row r="9" spans="1:14" x14ac:dyDescent="0.4">
      <c r="A9" s="1">
        <v>800008</v>
      </c>
      <c r="B9" s="1"/>
      <c r="C9" s="1"/>
      <c r="D9" s="1"/>
      <c r="E9" s="1"/>
      <c r="F9" s="1"/>
      <c r="G9" s="1">
        <v>10</v>
      </c>
      <c r="H9" s="1">
        <v>44</v>
      </c>
      <c r="I9" s="5">
        <f t="shared" si="0"/>
        <v>74830</v>
      </c>
      <c r="J9" s="1"/>
      <c r="K9" s="1" t="s">
        <v>25</v>
      </c>
      <c r="L9" s="1"/>
      <c r="M9" s="4">
        <f t="shared" si="1"/>
        <v>74830</v>
      </c>
      <c r="N9" s="2">
        <v>718</v>
      </c>
    </row>
    <row r="10" spans="1:14" x14ac:dyDescent="0.4">
      <c r="A10" s="1">
        <v>800009</v>
      </c>
      <c r="B10" s="1"/>
      <c r="C10" s="1"/>
      <c r="D10" s="1"/>
      <c r="E10" s="1"/>
      <c r="F10" s="1"/>
      <c r="G10" s="1">
        <v>10.5</v>
      </c>
      <c r="H10" s="1">
        <v>44.5</v>
      </c>
      <c r="I10" s="5">
        <f t="shared" si="0"/>
        <v>97236.052631578947</v>
      </c>
      <c r="J10" s="1"/>
      <c r="K10" s="1" t="s">
        <v>25</v>
      </c>
      <c r="L10" s="1"/>
      <c r="M10" s="4">
        <f t="shared" si="1"/>
        <v>97236.052631578947</v>
      </c>
      <c r="N10" s="2">
        <v>999</v>
      </c>
    </row>
    <row r="11" spans="1:14" x14ac:dyDescent="0.4">
      <c r="A11" s="1">
        <v>800010</v>
      </c>
      <c r="B11" s="1"/>
      <c r="C11" s="1"/>
      <c r="D11" s="1"/>
      <c r="E11" s="1"/>
      <c r="F11" s="1"/>
      <c r="G11" s="1"/>
      <c r="H11" s="1"/>
      <c r="I11" s="5"/>
      <c r="J11" s="1"/>
      <c r="K11" s="1"/>
      <c r="L11" s="1"/>
      <c r="M11" s="4"/>
      <c r="N11" s="2"/>
    </row>
    <row r="12" spans="1:14" x14ac:dyDescent="0.4">
      <c r="A12" s="1">
        <v>800011</v>
      </c>
      <c r="B12" s="1"/>
      <c r="C12" s="1"/>
      <c r="D12" s="1"/>
      <c r="E12" s="1"/>
      <c r="F12" s="1"/>
      <c r="G12" s="1"/>
      <c r="H12" s="1"/>
      <c r="I12" s="5"/>
      <c r="J12" s="1"/>
      <c r="K12" s="1"/>
      <c r="L12" s="1"/>
      <c r="M12" s="4"/>
      <c r="N12" s="2"/>
    </row>
    <row r="13" spans="1:14" x14ac:dyDescent="0.4">
      <c r="A13" s="1">
        <v>800012</v>
      </c>
      <c r="B13" s="1"/>
      <c r="C13" s="1"/>
      <c r="D13" s="1"/>
      <c r="E13" s="1"/>
      <c r="F13" s="1"/>
      <c r="G13" s="1"/>
      <c r="H13" s="1"/>
      <c r="I13" s="5"/>
      <c r="J13" s="1"/>
      <c r="K13" s="1"/>
      <c r="L13" s="1"/>
      <c r="M13" s="4"/>
      <c r="N13" s="2"/>
    </row>
    <row r="14" spans="1:14" x14ac:dyDescent="0.4">
      <c r="A14" s="1">
        <v>800013</v>
      </c>
      <c r="B14" s="1"/>
      <c r="C14" s="1"/>
      <c r="D14" s="1"/>
      <c r="E14" s="1"/>
      <c r="F14" s="1"/>
      <c r="G14" s="1"/>
      <c r="H14" s="1"/>
      <c r="I14" s="5"/>
      <c r="J14" s="1"/>
      <c r="K14" s="1"/>
      <c r="L14" s="1"/>
      <c r="M14" s="4"/>
      <c r="N14" s="2"/>
    </row>
    <row r="15" spans="1:14" x14ac:dyDescent="0.4">
      <c r="A15" s="1">
        <v>800014</v>
      </c>
      <c r="B15" s="1"/>
      <c r="C15" s="1"/>
      <c r="D15" s="1"/>
      <c r="E15" s="1"/>
      <c r="F15" s="1"/>
      <c r="G15" s="1"/>
      <c r="H15" s="1"/>
      <c r="I15" s="5"/>
      <c r="J15" s="1"/>
      <c r="K15" s="1"/>
      <c r="L15" s="1"/>
      <c r="M15" s="4"/>
      <c r="N15" s="2"/>
    </row>
    <row r="16" spans="1:14" x14ac:dyDescent="0.4">
      <c r="A16" s="1">
        <v>800015</v>
      </c>
      <c r="B16" s="1"/>
      <c r="C16" s="1"/>
      <c r="D16" s="1"/>
      <c r="E16" s="1"/>
      <c r="F16" s="1"/>
      <c r="G16" s="1"/>
      <c r="H16" s="1"/>
      <c r="I16" s="5"/>
      <c r="J16" s="1"/>
      <c r="K16" s="1"/>
      <c r="L16" s="1"/>
      <c r="M16" s="4"/>
      <c r="N16" s="2"/>
    </row>
    <row r="17" spans="1:14" x14ac:dyDescent="0.4">
      <c r="A17" s="1">
        <v>800016</v>
      </c>
      <c r="B17" s="1"/>
      <c r="C17" s="1"/>
      <c r="D17" s="1"/>
      <c r="E17" s="1"/>
      <c r="F17" s="1"/>
      <c r="G17" s="1"/>
      <c r="H17" s="1"/>
      <c r="I17" s="5"/>
      <c r="J17" s="1"/>
      <c r="K17" s="1"/>
      <c r="L17" s="1"/>
      <c r="M17" s="4"/>
      <c r="N17"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19D1D-483E-48F2-ADAB-DFF52736FC78}">
  <dimension ref="A1:N17"/>
  <sheetViews>
    <sheetView workbookViewId="0">
      <selection activeCell="F11" sqref="F11"/>
    </sheetView>
  </sheetViews>
  <sheetFormatPr defaultRowHeight="14.6" x14ac:dyDescent="0.4"/>
  <cols>
    <col min="2" max="2" width="15.15234375" bestFit="1" customWidth="1"/>
    <col min="3" max="3" width="42" bestFit="1" customWidth="1"/>
    <col min="6" max="6" width="60.53515625" bestFit="1" customWidth="1"/>
    <col min="7" max="8" width="9.23046875" style="2"/>
    <col min="12" max="12" width="76.07421875" customWidth="1"/>
  </cols>
  <sheetData>
    <row r="1" spans="1:14" x14ac:dyDescent="0.4">
      <c r="A1" s="1" t="s">
        <v>10</v>
      </c>
      <c r="B1" s="1" t="s">
        <v>2</v>
      </c>
      <c r="C1" s="1" t="s">
        <v>0</v>
      </c>
      <c r="D1" s="1" t="s">
        <v>8</v>
      </c>
      <c r="E1" s="1" t="s">
        <v>9</v>
      </c>
      <c r="F1" s="1" t="s">
        <v>12</v>
      </c>
      <c r="G1" s="1" t="s">
        <v>19</v>
      </c>
      <c r="H1" s="1" t="s">
        <v>20</v>
      </c>
      <c r="I1" s="1" t="s">
        <v>1</v>
      </c>
      <c r="J1" s="1" t="s">
        <v>3</v>
      </c>
      <c r="K1" s="1" t="s">
        <v>28</v>
      </c>
      <c r="L1" s="1" t="s">
        <v>27</v>
      </c>
      <c r="M1" s="2"/>
      <c r="N1" s="2"/>
    </row>
    <row r="2" spans="1:14" x14ac:dyDescent="0.4">
      <c r="A2" s="1">
        <v>900001</v>
      </c>
      <c r="B2" s="1" t="s">
        <v>47</v>
      </c>
      <c r="C2" s="1" t="s">
        <v>48</v>
      </c>
      <c r="D2" s="1" t="s">
        <v>38</v>
      </c>
      <c r="E2" s="1" t="s">
        <v>30</v>
      </c>
      <c r="F2" s="1" t="s">
        <v>49</v>
      </c>
      <c r="G2" s="1">
        <v>3</v>
      </c>
      <c r="H2" s="1">
        <v>35.5</v>
      </c>
      <c r="I2" s="5">
        <f>M2</f>
        <v>121157.10526315789</v>
      </c>
      <c r="J2" s="1"/>
      <c r="K2" s="1" t="s">
        <v>32</v>
      </c>
      <c r="L2" s="1"/>
      <c r="M2" s="4">
        <f>(N2*75+N2*75*0.01+12500+4200)/0.95</f>
        <v>121157.10526315789</v>
      </c>
      <c r="N2" s="2">
        <v>1299</v>
      </c>
    </row>
    <row r="3" spans="1:14" x14ac:dyDescent="0.4">
      <c r="A3" s="1">
        <v>900002</v>
      </c>
      <c r="B3" s="1"/>
      <c r="C3" s="2"/>
      <c r="D3" s="1"/>
      <c r="E3" s="1"/>
      <c r="F3" s="1"/>
      <c r="G3" s="1">
        <v>4</v>
      </c>
      <c r="H3" s="1">
        <v>37</v>
      </c>
      <c r="I3" s="5">
        <f t="shared" ref="I3:I9" si="0">M3</f>
        <v>43812.368421052633</v>
      </c>
      <c r="J3" s="1"/>
      <c r="K3" s="1" t="s">
        <v>25</v>
      </c>
      <c r="L3" s="1"/>
      <c r="M3" s="4">
        <f t="shared" ref="M3:M11" si="1">(N3*75+N3*75*0.01+12500+4200)/0.95</f>
        <v>43812.368421052633</v>
      </c>
      <c r="N3" s="2">
        <v>329</v>
      </c>
    </row>
    <row r="4" spans="1:14" x14ac:dyDescent="0.4">
      <c r="A4" s="1">
        <v>900003</v>
      </c>
      <c r="B4" s="1"/>
      <c r="C4" s="1"/>
      <c r="D4" s="1"/>
      <c r="E4" s="1"/>
      <c r="F4" s="1"/>
      <c r="G4" s="1">
        <v>5</v>
      </c>
      <c r="H4" s="1">
        <v>38</v>
      </c>
      <c r="I4" s="5">
        <f t="shared" si="0"/>
        <v>44609.736842105267</v>
      </c>
      <c r="J4" s="1"/>
      <c r="K4" s="1" t="s">
        <v>25</v>
      </c>
      <c r="L4" s="1"/>
      <c r="M4" s="4">
        <f t="shared" si="1"/>
        <v>44609.736842105267</v>
      </c>
      <c r="N4" s="2">
        <v>339</v>
      </c>
    </row>
    <row r="5" spans="1:14" x14ac:dyDescent="0.4">
      <c r="A5" s="1">
        <v>900004</v>
      </c>
      <c r="B5" s="1"/>
      <c r="C5" s="1"/>
      <c r="D5" s="1"/>
      <c r="E5" s="1"/>
      <c r="F5" s="1"/>
      <c r="G5" s="1">
        <v>6</v>
      </c>
      <c r="H5" s="1">
        <v>39</v>
      </c>
      <c r="I5" s="5">
        <f t="shared" si="0"/>
        <v>43812.368421052633</v>
      </c>
      <c r="J5" s="1"/>
      <c r="K5" s="1" t="s">
        <v>25</v>
      </c>
      <c r="L5" s="1"/>
      <c r="M5" s="4">
        <f t="shared" si="1"/>
        <v>43812.368421052633</v>
      </c>
      <c r="N5" s="2">
        <v>329</v>
      </c>
    </row>
    <row r="6" spans="1:14" x14ac:dyDescent="0.4">
      <c r="A6" s="1">
        <v>900005</v>
      </c>
      <c r="B6" s="1"/>
      <c r="C6" s="1"/>
      <c r="D6" s="1"/>
      <c r="E6" s="1"/>
      <c r="F6" s="1"/>
      <c r="G6" s="1">
        <v>7</v>
      </c>
      <c r="H6" s="1">
        <v>40.5</v>
      </c>
      <c r="I6" s="5">
        <f t="shared" si="0"/>
        <v>45407.1052631579</v>
      </c>
      <c r="J6" s="1"/>
      <c r="K6" s="1" t="s">
        <v>25</v>
      </c>
      <c r="L6" s="1"/>
      <c r="M6" s="4">
        <f t="shared" si="1"/>
        <v>45407.1052631579</v>
      </c>
      <c r="N6" s="2">
        <v>349</v>
      </c>
    </row>
    <row r="7" spans="1:14" x14ac:dyDescent="0.4">
      <c r="A7" s="1">
        <v>900006</v>
      </c>
      <c r="B7" s="1"/>
      <c r="C7" s="1"/>
      <c r="D7" s="1"/>
      <c r="E7" s="1"/>
      <c r="F7" s="1"/>
      <c r="G7" s="1">
        <v>8</v>
      </c>
      <c r="H7" s="1">
        <v>42</v>
      </c>
      <c r="I7" s="5">
        <f t="shared" si="0"/>
        <v>47799.210526315794</v>
      </c>
      <c r="J7" s="1"/>
      <c r="K7" s="1" t="s">
        <v>25</v>
      </c>
      <c r="L7" s="1"/>
      <c r="M7" s="4">
        <f t="shared" si="1"/>
        <v>47799.210526315794</v>
      </c>
      <c r="N7" s="2">
        <v>379</v>
      </c>
    </row>
    <row r="8" spans="1:14" x14ac:dyDescent="0.4">
      <c r="A8" s="1">
        <v>900007</v>
      </c>
      <c r="B8" s="1"/>
      <c r="C8" s="1"/>
      <c r="D8" s="1"/>
      <c r="E8" s="1"/>
      <c r="F8" s="1"/>
      <c r="G8" s="1">
        <v>9</v>
      </c>
      <c r="H8" s="1">
        <v>43</v>
      </c>
      <c r="I8" s="5">
        <f t="shared" si="0"/>
        <v>49393.947368421053</v>
      </c>
      <c r="J8" s="1"/>
      <c r="K8" s="1" t="s">
        <v>25</v>
      </c>
      <c r="L8" s="1"/>
      <c r="M8" s="4">
        <f t="shared" si="1"/>
        <v>49393.947368421053</v>
      </c>
      <c r="N8" s="2">
        <v>399</v>
      </c>
    </row>
    <row r="9" spans="1:14" x14ac:dyDescent="0.4">
      <c r="A9" s="1">
        <v>900008</v>
      </c>
      <c r="B9" s="1"/>
      <c r="C9" s="1"/>
      <c r="D9" s="1"/>
      <c r="E9" s="1"/>
      <c r="F9" s="1"/>
      <c r="G9" s="1">
        <v>10</v>
      </c>
      <c r="H9" s="1">
        <v>44.5</v>
      </c>
      <c r="I9" s="5">
        <f t="shared" si="0"/>
        <v>48596.57894736842</v>
      </c>
      <c r="J9" s="1"/>
      <c r="K9" s="1" t="s">
        <v>25</v>
      </c>
      <c r="L9" s="1"/>
      <c r="M9" s="4">
        <f t="shared" si="1"/>
        <v>48596.57894736842</v>
      </c>
      <c r="N9" s="2">
        <v>389</v>
      </c>
    </row>
    <row r="10" spans="1:14" x14ac:dyDescent="0.4">
      <c r="A10" s="1">
        <v>900009</v>
      </c>
      <c r="B10" s="1"/>
      <c r="C10" s="1"/>
      <c r="D10" s="1"/>
      <c r="E10" s="1"/>
      <c r="F10" s="1"/>
      <c r="G10" s="1"/>
      <c r="H10" s="1"/>
      <c r="I10" s="5"/>
      <c r="J10" s="1"/>
      <c r="K10" s="1" t="s">
        <v>25</v>
      </c>
      <c r="L10" s="1"/>
      <c r="M10" s="4">
        <f t="shared" si="1"/>
        <v>97236.052631578947</v>
      </c>
      <c r="N10" s="2">
        <v>999</v>
      </c>
    </row>
    <row r="11" spans="1:14" x14ac:dyDescent="0.4">
      <c r="A11" s="1">
        <v>900010</v>
      </c>
      <c r="B11" s="1"/>
      <c r="C11" s="1" t="s">
        <v>112</v>
      </c>
      <c r="D11" s="1" t="s">
        <v>113</v>
      </c>
      <c r="E11" s="1" t="s">
        <v>86</v>
      </c>
      <c r="F11" s="1" t="s">
        <v>116</v>
      </c>
      <c r="G11" s="1" t="s">
        <v>114</v>
      </c>
      <c r="H11" s="1">
        <v>29</v>
      </c>
      <c r="I11" s="5">
        <v>23000</v>
      </c>
      <c r="J11" s="1"/>
      <c r="K11" s="1" t="s">
        <v>25</v>
      </c>
      <c r="L11" t="s">
        <v>115</v>
      </c>
      <c r="M11" s="4">
        <f t="shared" si="1"/>
        <v>22363.157894736843</v>
      </c>
      <c r="N11" s="2">
        <v>60</v>
      </c>
    </row>
    <row r="12" spans="1:14" x14ac:dyDescent="0.4">
      <c r="A12" s="1">
        <v>900011</v>
      </c>
      <c r="B12" s="1"/>
      <c r="C12" s="1"/>
      <c r="D12" s="1"/>
      <c r="E12" s="1"/>
      <c r="F12" s="1"/>
      <c r="G12" s="1"/>
      <c r="H12" s="1"/>
      <c r="I12" s="5"/>
      <c r="J12" s="1"/>
      <c r="K12" s="1"/>
      <c r="L12" s="6"/>
      <c r="M12" s="4"/>
      <c r="N12" s="2"/>
    </row>
    <row r="13" spans="1:14" x14ac:dyDescent="0.4">
      <c r="A13" s="1">
        <v>900012</v>
      </c>
      <c r="B13" s="1"/>
      <c r="C13" s="1"/>
      <c r="D13" s="1"/>
      <c r="E13" s="1"/>
      <c r="F13" s="1"/>
      <c r="G13" s="1"/>
      <c r="H13" s="1"/>
      <c r="I13" s="5"/>
      <c r="J13" s="1"/>
      <c r="K13" s="1"/>
      <c r="L13" s="6"/>
      <c r="M13" s="4"/>
      <c r="N13" s="2"/>
    </row>
    <row r="14" spans="1:14" x14ac:dyDescent="0.4">
      <c r="A14" s="1">
        <v>900013</v>
      </c>
      <c r="B14" s="1"/>
      <c r="C14" s="1"/>
      <c r="D14" s="1"/>
      <c r="E14" s="1"/>
      <c r="F14" s="1"/>
      <c r="G14" s="1"/>
      <c r="H14" s="1"/>
      <c r="I14" s="5"/>
      <c r="J14" s="1"/>
      <c r="K14" s="1"/>
      <c r="L14" s="6"/>
      <c r="M14" s="4"/>
      <c r="N14" s="2"/>
    </row>
    <row r="15" spans="1:14" x14ac:dyDescent="0.4">
      <c r="A15" s="1">
        <v>900014</v>
      </c>
      <c r="B15" s="1"/>
      <c r="C15" s="1"/>
      <c r="D15" s="1"/>
      <c r="E15" s="1"/>
      <c r="F15" s="1"/>
      <c r="G15" s="1"/>
      <c r="H15" s="1"/>
      <c r="I15" s="5"/>
      <c r="J15" s="1"/>
      <c r="K15" s="1"/>
      <c r="L15" s="6"/>
      <c r="M15" s="4"/>
      <c r="N15" s="2"/>
    </row>
    <row r="16" spans="1:14" x14ac:dyDescent="0.4">
      <c r="A16" s="1">
        <v>900015</v>
      </c>
      <c r="B16" s="1"/>
      <c r="C16" s="1"/>
      <c r="D16" s="1"/>
      <c r="E16" s="1"/>
      <c r="F16" s="1"/>
      <c r="G16" s="1"/>
      <c r="H16" s="1"/>
      <c r="I16" s="5"/>
      <c r="J16" s="1"/>
      <c r="K16" s="1"/>
      <c r="L16" s="1"/>
      <c r="M16" s="4"/>
      <c r="N16" s="2"/>
    </row>
    <row r="17" spans="1:14" x14ac:dyDescent="0.4">
      <c r="A17" s="1">
        <v>900016</v>
      </c>
      <c r="B17" s="1"/>
      <c r="C17" s="1"/>
      <c r="D17" s="1"/>
      <c r="E17" s="1"/>
      <c r="F17" s="1"/>
      <c r="G17" s="1"/>
      <c r="H17" s="1"/>
      <c r="I17" s="5"/>
      <c r="J17" s="1"/>
      <c r="K17" s="1"/>
      <c r="L17" s="1"/>
      <c r="M17" s="4"/>
      <c r="N17"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8C7-496E-4AC5-9F63-2C6E81B9B7D4}">
  <dimension ref="A1:N17"/>
  <sheetViews>
    <sheetView workbookViewId="0">
      <selection activeCell="N17" sqref="N17"/>
    </sheetView>
  </sheetViews>
  <sheetFormatPr defaultRowHeight="14.6" x14ac:dyDescent="0.4"/>
  <cols>
    <col min="2" max="2" width="15.15234375" bestFit="1" customWidth="1"/>
    <col min="3" max="3" width="42" bestFit="1" customWidth="1"/>
    <col min="6" max="6" width="60.53515625" bestFit="1" customWidth="1"/>
    <col min="7" max="8" width="9.23046875" style="2"/>
  </cols>
  <sheetData>
    <row r="1" spans="1:14" x14ac:dyDescent="0.4">
      <c r="A1" s="1" t="s">
        <v>10</v>
      </c>
      <c r="B1" s="1" t="s">
        <v>2</v>
      </c>
      <c r="C1" s="1" t="s">
        <v>0</v>
      </c>
      <c r="D1" s="1" t="s">
        <v>8</v>
      </c>
      <c r="E1" s="1" t="s">
        <v>9</v>
      </c>
      <c r="F1" s="1" t="s">
        <v>12</v>
      </c>
      <c r="G1" s="1" t="s">
        <v>19</v>
      </c>
      <c r="H1" s="1" t="s">
        <v>20</v>
      </c>
      <c r="I1" s="1" t="s">
        <v>1</v>
      </c>
      <c r="J1" s="1" t="s">
        <v>3</v>
      </c>
      <c r="K1" s="1" t="s">
        <v>28</v>
      </c>
      <c r="L1" s="1" t="s">
        <v>27</v>
      </c>
      <c r="M1" s="2"/>
      <c r="N1" s="2"/>
    </row>
    <row r="2" spans="1:14" x14ac:dyDescent="0.4">
      <c r="A2" s="1">
        <v>110001</v>
      </c>
      <c r="B2" s="1" t="s">
        <v>50</v>
      </c>
      <c r="C2" s="1" t="s">
        <v>52</v>
      </c>
      <c r="D2" s="1" t="s">
        <v>38</v>
      </c>
      <c r="E2" s="1" t="s">
        <v>30</v>
      </c>
      <c r="F2" s="1" t="s">
        <v>51</v>
      </c>
      <c r="G2" s="1"/>
      <c r="H2" s="1">
        <v>35</v>
      </c>
      <c r="I2" s="5">
        <f>M2</f>
        <v>49154.736842105267</v>
      </c>
      <c r="J2" s="1"/>
      <c r="K2" s="1" t="s">
        <v>32</v>
      </c>
      <c r="L2" s="1"/>
      <c r="M2" s="4">
        <f>(N2*75+N2*75*0.01+12500+4200)/0.95</f>
        <v>49154.736842105267</v>
      </c>
      <c r="N2" s="2">
        <v>396</v>
      </c>
    </row>
    <row r="3" spans="1:14" x14ac:dyDescent="0.4">
      <c r="A3" s="1">
        <v>110002</v>
      </c>
      <c r="B3" s="1"/>
      <c r="C3" s="2"/>
      <c r="D3" s="1"/>
      <c r="E3" s="1"/>
      <c r="F3" s="1"/>
      <c r="G3" s="1"/>
      <c r="H3" s="1">
        <v>36</v>
      </c>
      <c r="I3" s="5">
        <f t="shared" ref="I3:I12" si="0">M3</f>
        <v>49154.736842105267</v>
      </c>
      <c r="J3" s="1"/>
      <c r="K3" s="1" t="s">
        <v>25</v>
      </c>
      <c r="L3" s="1"/>
      <c r="M3" s="4">
        <f t="shared" ref="M3:M12" si="1">(N3*75+N3*75*0.01+12500+4200)/0.95</f>
        <v>49154.736842105267</v>
      </c>
      <c r="N3" s="2">
        <v>396</v>
      </c>
    </row>
    <row r="4" spans="1:14" x14ac:dyDescent="0.4">
      <c r="A4" s="1">
        <v>110003</v>
      </c>
      <c r="B4" s="1"/>
      <c r="C4" s="1"/>
      <c r="D4" s="1"/>
      <c r="E4" s="1"/>
      <c r="F4" s="1"/>
      <c r="G4" s="1"/>
      <c r="H4" s="1">
        <v>37</v>
      </c>
      <c r="I4" s="5">
        <f t="shared" si="0"/>
        <v>49154.736842105267</v>
      </c>
      <c r="J4" s="1"/>
      <c r="K4" s="1" t="s">
        <v>25</v>
      </c>
      <c r="L4" s="1"/>
      <c r="M4" s="4">
        <f t="shared" si="1"/>
        <v>49154.736842105267</v>
      </c>
      <c r="N4" s="2">
        <v>396</v>
      </c>
    </row>
    <row r="5" spans="1:14" x14ac:dyDescent="0.4">
      <c r="A5" s="1">
        <v>110004</v>
      </c>
      <c r="B5" s="1"/>
      <c r="C5" s="1"/>
      <c r="D5" s="1"/>
      <c r="E5" s="1"/>
      <c r="F5" s="1"/>
      <c r="G5" s="1"/>
      <c r="H5" s="1">
        <v>38</v>
      </c>
      <c r="I5" s="5">
        <f t="shared" si="0"/>
        <v>49154.736842105267</v>
      </c>
      <c r="J5" s="1"/>
      <c r="K5" s="1" t="s">
        <v>25</v>
      </c>
      <c r="L5" s="1"/>
      <c r="M5" s="4">
        <f t="shared" si="1"/>
        <v>49154.736842105267</v>
      </c>
      <c r="N5" s="2">
        <v>396</v>
      </c>
    </row>
    <row r="6" spans="1:14" x14ac:dyDescent="0.4">
      <c r="A6" s="1">
        <v>110005</v>
      </c>
      <c r="B6" s="1"/>
      <c r="C6" s="1"/>
      <c r="D6" s="1"/>
      <c r="E6" s="1"/>
      <c r="F6" s="1"/>
      <c r="G6" s="1"/>
      <c r="H6" s="1">
        <v>39</v>
      </c>
      <c r="I6" s="5">
        <f t="shared" si="0"/>
        <v>49154.736842105267</v>
      </c>
      <c r="J6" s="1"/>
      <c r="K6" s="1" t="s">
        <v>25</v>
      </c>
      <c r="L6" s="1"/>
      <c r="M6" s="4">
        <f t="shared" si="1"/>
        <v>49154.736842105267</v>
      </c>
      <c r="N6" s="2">
        <v>396</v>
      </c>
    </row>
    <row r="7" spans="1:14" x14ac:dyDescent="0.4">
      <c r="A7" s="1">
        <v>110006</v>
      </c>
      <c r="B7" s="1"/>
      <c r="C7" s="1"/>
      <c r="D7" s="1"/>
      <c r="E7" s="1"/>
      <c r="F7" s="1"/>
      <c r="G7" s="1"/>
      <c r="H7" s="1">
        <v>40</v>
      </c>
      <c r="I7" s="5">
        <f t="shared" si="0"/>
        <v>49154.736842105267</v>
      </c>
      <c r="J7" s="1"/>
      <c r="K7" s="1" t="s">
        <v>25</v>
      </c>
      <c r="L7" s="1"/>
      <c r="M7" s="4">
        <f t="shared" si="1"/>
        <v>49154.736842105267</v>
      </c>
      <c r="N7" s="2">
        <v>396</v>
      </c>
    </row>
    <row r="8" spans="1:14" x14ac:dyDescent="0.4">
      <c r="A8" s="1">
        <v>110007</v>
      </c>
      <c r="B8" s="1"/>
      <c r="C8" s="1"/>
      <c r="D8" s="1"/>
      <c r="E8" s="1"/>
      <c r="F8" s="1"/>
      <c r="G8" s="1"/>
      <c r="H8" s="1">
        <v>41</v>
      </c>
      <c r="I8" s="5">
        <f t="shared" si="0"/>
        <v>49154.736842105267</v>
      </c>
      <c r="J8" s="1"/>
      <c r="K8" s="1" t="s">
        <v>25</v>
      </c>
      <c r="L8" s="1"/>
      <c r="M8" s="4">
        <f t="shared" si="1"/>
        <v>49154.736842105267</v>
      </c>
      <c r="N8" s="2">
        <v>396</v>
      </c>
    </row>
    <row r="9" spans="1:14" x14ac:dyDescent="0.4">
      <c r="A9" s="1">
        <v>110008</v>
      </c>
      <c r="B9" s="1"/>
      <c r="C9" s="1"/>
      <c r="D9" s="1"/>
      <c r="E9" s="1"/>
      <c r="F9" s="1"/>
      <c r="G9" s="1"/>
      <c r="H9" s="1">
        <v>42</v>
      </c>
      <c r="I9" s="5">
        <f t="shared" si="0"/>
        <v>49154.736842105267</v>
      </c>
      <c r="J9" s="1"/>
      <c r="K9" s="1" t="s">
        <v>25</v>
      </c>
      <c r="L9" s="1"/>
      <c r="M9" s="4">
        <f t="shared" si="1"/>
        <v>49154.736842105267</v>
      </c>
      <c r="N9" s="2">
        <v>396</v>
      </c>
    </row>
    <row r="10" spans="1:14" x14ac:dyDescent="0.4">
      <c r="A10" s="1">
        <v>110009</v>
      </c>
      <c r="B10" s="1"/>
      <c r="C10" s="1"/>
      <c r="D10" s="1"/>
      <c r="E10" s="1"/>
      <c r="F10" s="1"/>
      <c r="G10" s="1"/>
      <c r="H10" s="1">
        <v>43</v>
      </c>
      <c r="I10" s="5">
        <f t="shared" si="0"/>
        <v>49154.736842105267</v>
      </c>
      <c r="J10" s="1"/>
      <c r="K10" s="1" t="s">
        <v>25</v>
      </c>
      <c r="L10" s="1"/>
      <c r="M10" s="4">
        <f t="shared" si="1"/>
        <v>49154.736842105267</v>
      </c>
      <c r="N10" s="2">
        <v>396</v>
      </c>
    </row>
    <row r="11" spans="1:14" x14ac:dyDescent="0.4">
      <c r="A11" s="1">
        <v>110010</v>
      </c>
      <c r="B11" s="1"/>
      <c r="C11" s="1"/>
      <c r="D11" s="1"/>
      <c r="E11" s="1"/>
      <c r="F11" s="1"/>
      <c r="G11" s="1"/>
      <c r="H11" s="1">
        <v>44</v>
      </c>
      <c r="I11" s="5">
        <f t="shared" si="0"/>
        <v>49154.736842105267</v>
      </c>
      <c r="J11" s="1"/>
      <c r="K11" s="1" t="s">
        <v>25</v>
      </c>
      <c r="L11" s="1"/>
      <c r="M11" s="4">
        <f t="shared" si="1"/>
        <v>49154.736842105267</v>
      </c>
      <c r="N11" s="2">
        <v>396</v>
      </c>
    </row>
    <row r="12" spans="1:14" x14ac:dyDescent="0.4">
      <c r="A12" s="1">
        <v>110011</v>
      </c>
      <c r="B12" s="1"/>
      <c r="C12" s="1"/>
      <c r="D12" s="1"/>
      <c r="E12" s="1"/>
      <c r="F12" s="1"/>
      <c r="G12" s="1"/>
      <c r="H12" s="1">
        <v>45</v>
      </c>
      <c r="I12" s="5">
        <f t="shared" si="0"/>
        <v>49154.736842105267</v>
      </c>
      <c r="J12" s="1"/>
      <c r="K12" s="1" t="s">
        <v>25</v>
      </c>
      <c r="L12" s="1"/>
      <c r="M12" s="4">
        <f t="shared" si="1"/>
        <v>49154.736842105267</v>
      </c>
      <c r="N12" s="2">
        <v>396</v>
      </c>
    </row>
    <row r="13" spans="1:14" x14ac:dyDescent="0.4">
      <c r="A13" s="1">
        <v>110012</v>
      </c>
      <c r="B13" s="1"/>
      <c r="C13" s="1"/>
      <c r="D13" s="1"/>
      <c r="E13" s="1"/>
      <c r="F13" s="1"/>
      <c r="G13" s="1"/>
      <c r="H13" s="1"/>
      <c r="I13" s="5"/>
      <c r="J13" s="1"/>
      <c r="K13" s="1"/>
      <c r="L13" s="1"/>
      <c r="M13" s="4"/>
      <c r="N13" s="2"/>
    </row>
    <row r="14" spans="1:14" x14ac:dyDescent="0.4">
      <c r="A14" s="1">
        <v>110013</v>
      </c>
      <c r="B14" s="1"/>
      <c r="C14" s="1"/>
      <c r="D14" s="1"/>
      <c r="E14" s="1"/>
      <c r="F14" s="1"/>
      <c r="G14" s="1"/>
      <c r="H14" s="1"/>
      <c r="I14" s="5"/>
      <c r="J14" s="1"/>
      <c r="K14" s="1"/>
      <c r="L14" s="1"/>
      <c r="M14" s="4"/>
      <c r="N14" s="2"/>
    </row>
    <row r="15" spans="1:14" x14ac:dyDescent="0.4">
      <c r="A15" s="1">
        <v>110014</v>
      </c>
      <c r="B15" s="1"/>
      <c r="C15" s="1"/>
      <c r="D15" s="1"/>
      <c r="E15" s="1"/>
      <c r="F15" s="1"/>
      <c r="G15" s="1"/>
      <c r="H15" s="1"/>
      <c r="I15" s="5"/>
      <c r="J15" s="1"/>
      <c r="K15" s="1"/>
      <c r="L15" s="1"/>
      <c r="M15" s="4"/>
      <c r="N15" s="2"/>
    </row>
    <row r="16" spans="1:14" x14ac:dyDescent="0.4">
      <c r="A16" s="1">
        <v>110015</v>
      </c>
      <c r="B16" s="1"/>
      <c r="C16" s="1"/>
      <c r="D16" s="1"/>
      <c r="E16" s="1"/>
      <c r="F16" s="1"/>
      <c r="G16" s="1"/>
      <c r="H16" s="1"/>
      <c r="I16" s="5"/>
      <c r="J16" s="1"/>
      <c r="K16" s="1"/>
      <c r="L16" s="1"/>
      <c r="M16" s="4"/>
      <c r="N16" s="2"/>
    </row>
    <row r="17" spans="1:14" x14ac:dyDescent="0.4">
      <c r="A17" s="1">
        <v>110016</v>
      </c>
      <c r="B17" s="1"/>
      <c r="C17" s="1"/>
      <c r="D17" s="1"/>
      <c r="E17" s="1"/>
      <c r="F17" s="1"/>
      <c r="G17" s="1"/>
      <c r="H17" s="1"/>
      <c r="I17" s="5"/>
      <c r="J17" s="1"/>
      <c r="K17" s="1"/>
      <c r="L17" s="1"/>
      <c r="M17" s="4"/>
      <c r="N17"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E7DAE-5F88-4DCD-935A-6D905A01DBED}">
  <dimension ref="A1:N27"/>
  <sheetViews>
    <sheetView topLeftCell="A16" workbookViewId="0">
      <selection activeCell="R13" sqref="R13"/>
    </sheetView>
  </sheetViews>
  <sheetFormatPr defaultRowHeight="14.6" x14ac:dyDescent="0.4"/>
  <cols>
    <col min="2" max="2" width="15.15234375" bestFit="1" customWidth="1"/>
    <col min="3" max="3" width="42" bestFit="1" customWidth="1"/>
    <col min="6" max="6" width="60.53515625" bestFit="1" customWidth="1"/>
    <col min="7" max="8" width="9.23046875" style="2"/>
  </cols>
  <sheetData>
    <row r="1" spans="1:14" x14ac:dyDescent="0.4">
      <c r="A1" s="1" t="s">
        <v>10</v>
      </c>
      <c r="B1" s="1" t="s">
        <v>2</v>
      </c>
      <c r="C1" s="1" t="s">
        <v>0</v>
      </c>
      <c r="D1" s="1" t="s">
        <v>8</v>
      </c>
      <c r="E1" s="1" t="s">
        <v>9</v>
      </c>
      <c r="F1" s="1" t="s">
        <v>12</v>
      </c>
      <c r="G1" s="1" t="s">
        <v>19</v>
      </c>
      <c r="H1" s="1" t="s">
        <v>20</v>
      </c>
      <c r="I1" s="1" t="s">
        <v>1</v>
      </c>
      <c r="J1" s="1" t="s">
        <v>3</v>
      </c>
      <c r="K1" s="1" t="s">
        <v>28</v>
      </c>
      <c r="L1" s="1" t="s">
        <v>27</v>
      </c>
      <c r="M1" s="2"/>
      <c r="N1" s="2"/>
    </row>
    <row r="2" spans="1:14" x14ac:dyDescent="0.4">
      <c r="A2" s="1">
        <v>120001</v>
      </c>
      <c r="B2" s="1" t="s">
        <v>53</v>
      </c>
      <c r="C2" s="1" t="s">
        <v>53</v>
      </c>
      <c r="D2" s="1" t="s">
        <v>6</v>
      </c>
      <c r="E2" s="1" t="s">
        <v>55</v>
      </c>
      <c r="F2" s="1" t="s">
        <v>54</v>
      </c>
      <c r="G2" s="1"/>
      <c r="H2" s="1">
        <v>38</v>
      </c>
      <c r="I2" s="5">
        <f>M2</f>
        <v>40303.947368421053</v>
      </c>
      <c r="J2" s="1"/>
      <c r="K2" s="1" t="s">
        <v>25</v>
      </c>
      <c r="L2" s="1"/>
      <c r="M2" s="4">
        <f>(N2*75+N2*75*0.01+12500+4200)/0.95</f>
        <v>40303.947368421053</v>
      </c>
      <c r="N2" s="2">
        <v>285</v>
      </c>
    </row>
    <row r="3" spans="1:14" x14ac:dyDescent="0.4">
      <c r="A3" s="1">
        <v>120002</v>
      </c>
      <c r="B3" s="1"/>
      <c r="C3" s="2"/>
      <c r="D3" s="1"/>
      <c r="E3" s="1"/>
      <c r="F3" s="1"/>
      <c r="G3" s="1"/>
      <c r="H3" s="1">
        <v>39</v>
      </c>
      <c r="I3" s="5">
        <f t="shared" ref="I3:I25" si="0">M3</f>
        <v>39745.789473684214</v>
      </c>
      <c r="J3" s="1"/>
      <c r="K3" s="1" t="s">
        <v>25</v>
      </c>
      <c r="L3" s="1"/>
      <c r="M3" s="4">
        <f t="shared" ref="M3:M25" si="1">(N3*75+N3*75*0.01+12500+4200)/0.95</f>
        <v>39745.789473684214</v>
      </c>
      <c r="N3" s="2">
        <v>278</v>
      </c>
    </row>
    <row r="4" spans="1:14" x14ac:dyDescent="0.4">
      <c r="A4" s="1">
        <v>120003</v>
      </c>
      <c r="B4" s="1"/>
      <c r="C4" s="1"/>
      <c r="D4" s="1"/>
      <c r="E4" s="1"/>
      <c r="F4" s="1"/>
      <c r="G4" s="1"/>
      <c r="H4" s="1">
        <v>40</v>
      </c>
      <c r="I4" s="5">
        <f t="shared" si="0"/>
        <v>41021.57894736842</v>
      </c>
      <c r="J4" s="1"/>
      <c r="K4" s="1" t="s">
        <v>25</v>
      </c>
      <c r="L4" s="1"/>
      <c r="M4" s="4">
        <f t="shared" si="1"/>
        <v>41021.57894736842</v>
      </c>
      <c r="N4" s="2">
        <v>294</v>
      </c>
    </row>
    <row r="5" spans="1:14" x14ac:dyDescent="0.4">
      <c r="A5" s="1">
        <v>120004</v>
      </c>
      <c r="B5" s="1"/>
      <c r="C5" s="1"/>
      <c r="D5" s="1"/>
      <c r="E5" s="1"/>
      <c r="F5" s="1"/>
      <c r="G5" s="1"/>
      <c r="H5" s="1">
        <v>41</v>
      </c>
      <c r="I5" s="5">
        <f t="shared" si="0"/>
        <v>40463.42105263158</v>
      </c>
      <c r="J5" s="1"/>
      <c r="K5" s="1" t="s">
        <v>25</v>
      </c>
      <c r="L5" s="1"/>
      <c r="M5" s="4">
        <f t="shared" si="1"/>
        <v>40463.42105263158</v>
      </c>
      <c r="N5" s="2">
        <v>287</v>
      </c>
    </row>
    <row r="6" spans="1:14" x14ac:dyDescent="0.4">
      <c r="A6" s="1">
        <v>120005</v>
      </c>
      <c r="B6" s="1"/>
      <c r="C6" s="1"/>
      <c r="D6" s="1"/>
      <c r="E6" s="1"/>
      <c r="F6" s="1"/>
      <c r="G6" s="1"/>
      <c r="H6" s="1">
        <v>42</v>
      </c>
      <c r="I6" s="5">
        <f t="shared" si="0"/>
        <v>40463.42105263158</v>
      </c>
      <c r="J6" s="1"/>
      <c r="K6" s="1" t="s">
        <v>25</v>
      </c>
      <c r="L6" s="1"/>
      <c r="M6" s="4">
        <f t="shared" si="1"/>
        <v>40463.42105263158</v>
      </c>
      <c r="N6" s="2">
        <v>287</v>
      </c>
    </row>
    <row r="7" spans="1:14" x14ac:dyDescent="0.4">
      <c r="A7" s="1">
        <v>120006</v>
      </c>
      <c r="B7" s="1"/>
      <c r="C7" s="1"/>
      <c r="D7" s="1"/>
      <c r="E7" s="1"/>
      <c r="F7" s="1"/>
      <c r="G7" s="1"/>
      <c r="H7" s="1">
        <v>43</v>
      </c>
      <c r="I7" s="5">
        <f t="shared" si="0"/>
        <v>39985</v>
      </c>
      <c r="J7" s="1"/>
      <c r="K7" s="1" t="s">
        <v>25</v>
      </c>
      <c r="L7" s="1"/>
      <c r="M7" s="4">
        <f t="shared" si="1"/>
        <v>39985</v>
      </c>
      <c r="N7" s="2">
        <v>281</v>
      </c>
    </row>
    <row r="8" spans="1:14" x14ac:dyDescent="0.4">
      <c r="A8" s="1">
        <v>120007</v>
      </c>
      <c r="B8" s="1"/>
      <c r="C8" s="1"/>
      <c r="D8" s="1"/>
      <c r="E8" s="1"/>
      <c r="F8" s="1"/>
      <c r="G8" s="1"/>
      <c r="H8" s="1">
        <v>44</v>
      </c>
      <c r="I8" s="5">
        <f t="shared" si="0"/>
        <v>39267.368421052633</v>
      </c>
      <c r="J8" s="1"/>
      <c r="K8" s="1" t="s">
        <v>25</v>
      </c>
      <c r="L8" s="1"/>
      <c r="M8" s="4">
        <f t="shared" si="1"/>
        <v>39267.368421052633</v>
      </c>
      <c r="N8" s="2">
        <v>272</v>
      </c>
    </row>
    <row r="9" spans="1:14" x14ac:dyDescent="0.4">
      <c r="A9" s="1">
        <v>120008</v>
      </c>
      <c r="B9" s="1"/>
      <c r="C9" s="1"/>
      <c r="D9" s="1"/>
      <c r="E9" s="1"/>
      <c r="F9" s="1"/>
      <c r="G9" s="1"/>
      <c r="H9" s="1">
        <v>45</v>
      </c>
      <c r="I9" s="5">
        <f t="shared" si="0"/>
        <v>40941.84210526316</v>
      </c>
      <c r="J9" s="1"/>
      <c r="K9" s="1" t="s">
        <v>25</v>
      </c>
      <c r="L9" s="1"/>
      <c r="M9" s="4">
        <f t="shared" si="1"/>
        <v>40941.84210526316</v>
      </c>
      <c r="N9" s="2">
        <v>293</v>
      </c>
    </row>
    <row r="10" spans="1:14" x14ac:dyDescent="0.4">
      <c r="A10" s="1">
        <v>120009</v>
      </c>
      <c r="B10" s="1"/>
      <c r="C10" s="1"/>
      <c r="D10" s="1"/>
      <c r="E10" s="1"/>
      <c r="F10" s="1"/>
      <c r="G10" s="1"/>
      <c r="H10" s="1">
        <v>46</v>
      </c>
      <c r="I10" s="5">
        <f t="shared" si="0"/>
        <v>47001.84210526316</v>
      </c>
      <c r="J10" s="1"/>
      <c r="K10" s="1" t="s">
        <v>25</v>
      </c>
      <c r="L10" s="1"/>
      <c r="M10" s="4">
        <f t="shared" si="1"/>
        <v>47001.84210526316</v>
      </c>
      <c r="N10" s="2">
        <v>369</v>
      </c>
    </row>
    <row r="11" spans="1:14" x14ac:dyDescent="0.4">
      <c r="A11" s="1">
        <v>120010</v>
      </c>
      <c r="B11" s="1"/>
      <c r="C11" s="1"/>
      <c r="D11" s="1"/>
      <c r="E11" s="1"/>
      <c r="F11" s="1"/>
      <c r="G11" s="1"/>
      <c r="H11" s="1">
        <v>47</v>
      </c>
      <c r="I11" s="5">
        <f t="shared" si="0"/>
        <v>49393.947368421053</v>
      </c>
      <c r="J11" s="1"/>
      <c r="K11" s="1" t="s">
        <v>25</v>
      </c>
      <c r="L11" s="1"/>
      <c r="M11" s="4">
        <f t="shared" si="1"/>
        <v>49393.947368421053</v>
      </c>
      <c r="N11" s="2">
        <v>399</v>
      </c>
    </row>
    <row r="12" spans="1:14" x14ac:dyDescent="0.4">
      <c r="A12" s="1">
        <v>120011</v>
      </c>
      <c r="B12" s="1"/>
      <c r="C12" s="1" t="s">
        <v>56</v>
      </c>
      <c r="D12" s="1" t="s">
        <v>57</v>
      </c>
      <c r="E12" s="1" t="s">
        <v>55</v>
      </c>
      <c r="F12" s="1" t="s">
        <v>58</v>
      </c>
      <c r="G12" s="7">
        <v>4.5</v>
      </c>
      <c r="H12" s="1">
        <v>34</v>
      </c>
      <c r="I12" s="5">
        <f t="shared" si="0"/>
        <v>42217.631578947374</v>
      </c>
      <c r="J12" s="1"/>
      <c r="K12" s="1" t="s">
        <v>32</v>
      </c>
      <c r="L12" s="1"/>
      <c r="M12" s="4">
        <f t="shared" si="1"/>
        <v>42217.631578947374</v>
      </c>
      <c r="N12" s="2">
        <v>309</v>
      </c>
    </row>
    <row r="13" spans="1:14" x14ac:dyDescent="0.4">
      <c r="A13" s="1">
        <v>120012</v>
      </c>
      <c r="B13" s="1"/>
      <c r="C13" s="1"/>
      <c r="D13" s="1"/>
      <c r="E13" s="1"/>
      <c r="F13" s="1"/>
      <c r="G13" s="1">
        <v>5</v>
      </c>
      <c r="H13" s="1">
        <v>35</v>
      </c>
      <c r="I13" s="5">
        <f t="shared" si="0"/>
        <v>42217.631578947374</v>
      </c>
      <c r="J13" s="1"/>
      <c r="K13" s="1" t="s">
        <v>25</v>
      </c>
      <c r="L13" s="1"/>
      <c r="M13" s="4">
        <f t="shared" si="1"/>
        <v>42217.631578947374</v>
      </c>
      <c r="N13" s="2">
        <v>309</v>
      </c>
    </row>
    <row r="14" spans="1:14" x14ac:dyDescent="0.4">
      <c r="A14" s="1">
        <v>120013</v>
      </c>
      <c r="B14" s="1"/>
      <c r="C14" s="1"/>
      <c r="D14" s="1"/>
      <c r="E14" s="1"/>
      <c r="F14" s="1"/>
      <c r="G14" s="7">
        <v>5.5</v>
      </c>
      <c r="H14" s="1">
        <v>36</v>
      </c>
      <c r="I14" s="5">
        <f t="shared" si="0"/>
        <v>41340.526315789473</v>
      </c>
      <c r="J14" s="1"/>
      <c r="K14" s="1" t="s">
        <v>25</v>
      </c>
      <c r="L14" s="1"/>
      <c r="M14" s="4">
        <f t="shared" si="1"/>
        <v>41340.526315789473</v>
      </c>
      <c r="N14" s="2">
        <v>298</v>
      </c>
    </row>
    <row r="15" spans="1:14" x14ac:dyDescent="0.4">
      <c r="A15" s="1">
        <v>120014</v>
      </c>
      <c r="B15" s="1"/>
      <c r="C15" s="1"/>
      <c r="D15" s="1"/>
      <c r="E15" s="1"/>
      <c r="F15" s="1"/>
      <c r="G15" s="1">
        <v>6</v>
      </c>
      <c r="H15" s="1">
        <v>37</v>
      </c>
      <c r="I15" s="5">
        <f t="shared" si="0"/>
        <v>41101.315789473687</v>
      </c>
      <c r="J15" s="1"/>
      <c r="K15" s="1" t="s">
        <v>25</v>
      </c>
      <c r="L15" s="1"/>
      <c r="M15" s="4">
        <f t="shared" si="1"/>
        <v>41101.315789473687</v>
      </c>
      <c r="N15" s="2">
        <v>295</v>
      </c>
    </row>
    <row r="16" spans="1:14" x14ac:dyDescent="0.4">
      <c r="A16" s="1">
        <v>120015</v>
      </c>
      <c r="B16" s="1"/>
      <c r="C16" s="1"/>
      <c r="D16" s="1"/>
      <c r="E16" s="1"/>
      <c r="F16" s="1"/>
      <c r="G16" s="7">
        <v>6.5</v>
      </c>
      <c r="H16" s="1">
        <v>38</v>
      </c>
      <c r="I16" s="5">
        <f t="shared" si="0"/>
        <v>42217.631578947374</v>
      </c>
      <c r="J16" s="1"/>
      <c r="K16" s="1" t="s">
        <v>25</v>
      </c>
      <c r="L16" s="1"/>
      <c r="M16" s="4">
        <f t="shared" si="1"/>
        <v>42217.631578947374</v>
      </c>
      <c r="N16" s="2">
        <v>309</v>
      </c>
    </row>
    <row r="17" spans="1:14" x14ac:dyDescent="0.4">
      <c r="A17" s="1">
        <v>120016</v>
      </c>
      <c r="B17" s="1"/>
      <c r="C17" s="1"/>
      <c r="D17" s="1"/>
      <c r="E17" s="1"/>
      <c r="F17" s="1"/>
      <c r="G17" s="1">
        <v>7</v>
      </c>
      <c r="H17" s="1">
        <v>39</v>
      </c>
      <c r="I17" s="5">
        <f t="shared" si="0"/>
        <v>42775.789473684214</v>
      </c>
      <c r="J17" s="1"/>
      <c r="K17" s="1" t="s">
        <v>25</v>
      </c>
      <c r="L17" s="1"/>
      <c r="M17" s="4">
        <f t="shared" si="1"/>
        <v>42775.789473684214</v>
      </c>
      <c r="N17" s="2">
        <v>316</v>
      </c>
    </row>
    <row r="18" spans="1:14" x14ac:dyDescent="0.4">
      <c r="A18" s="1">
        <v>120017</v>
      </c>
      <c r="B18" s="6"/>
      <c r="C18" s="6"/>
      <c r="D18" s="6"/>
      <c r="E18" s="6"/>
      <c r="F18" s="6"/>
      <c r="G18" s="7">
        <v>7.5</v>
      </c>
      <c r="H18" s="1">
        <v>40</v>
      </c>
      <c r="I18" s="5">
        <f t="shared" si="0"/>
        <v>42775.789473684214</v>
      </c>
      <c r="J18" s="6"/>
      <c r="K18" s="1" t="s">
        <v>25</v>
      </c>
      <c r="L18" s="6"/>
      <c r="M18" s="4">
        <f t="shared" si="1"/>
        <v>42775.789473684214</v>
      </c>
      <c r="N18" s="2">
        <v>316</v>
      </c>
    </row>
    <row r="19" spans="1:14" x14ac:dyDescent="0.4">
      <c r="A19" s="1">
        <v>120018</v>
      </c>
      <c r="B19" s="6"/>
      <c r="C19" s="6"/>
      <c r="D19" s="6"/>
      <c r="E19" s="1" t="s">
        <v>43</v>
      </c>
      <c r="F19" s="6" t="s">
        <v>59</v>
      </c>
      <c r="G19" s="7">
        <v>4.5</v>
      </c>
      <c r="H19" s="1">
        <v>34</v>
      </c>
      <c r="I19" s="5">
        <f t="shared" si="0"/>
        <v>42775.789473684214</v>
      </c>
      <c r="J19" s="6"/>
      <c r="K19" s="1" t="s">
        <v>32</v>
      </c>
      <c r="L19" s="6"/>
      <c r="M19" s="4">
        <f t="shared" si="1"/>
        <v>42775.789473684214</v>
      </c>
      <c r="N19" s="2">
        <v>316</v>
      </c>
    </row>
    <row r="20" spans="1:14" x14ac:dyDescent="0.4">
      <c r="A20" s="1">
        <v>120019</v>
      </c>
      <c r="B20" s="6"/>
      <c r="C20" s="6"/>
      <c r="D20" s="6"/>
      <c r="E20" s="6"/>
      <c r="F20" s="6"/>
      <c r="G20" s="1">
        <v>5</v>
      </c>
      <c r="H20" s="1">
        <v>35</v>
      </c>
      <c r="I20" s="5">
        <f t="shared" si="0"/>
        <v>42775.789473684214</v>
      </c>
      <c r="J20" s="6"/>
      <c r="K20" s="1" t="s">
        <v>25</v>
      </c>
      <c r="L20" s="6"/>
      <c r="M20" s="4">
        <f t="shared" si="1"/>
        <v>42775.789473684214</v>
      </c>
      <c r="N20" s="2">
        <v>316</v>
      </c>
    </row>
    <row r="21" spans="1:14" x14ac:dyDescent="0.4">
      <c r="A21" s="1">
        <v>120020</v>
      </c>
      <c r="B21" s="6"/>
      <c r="C21" s="6"/>
      <c r="D21" s="6"/>
      <c r="E21" s="6"/>
      <c r="F21" s="6"/>
      <c r="G21" s="7">
        <v>5.5</v>
      </c>
      <c r="H21" s="1">
        <v>36</v>
      </c>
      <c r="I21" s="5">
        <f t="shared" si="0"/>
        <v>42775.789473684214</v>
      </c>
      <c r="J21" s="6"/>
      <c r="K21" s="1" t="s">
        <v>25</v>
      </c>
      <c r="L21" s="6"/>
      <c r="M21" s="4">
        <f t="shared" si="1"/>
        <v>42775.789473684214</v>
      </c>
      <c r="N21" s="2">
        <v>316</v>
      </c>
    </row>
    <row r="22" spans="1:14" x14ac:dyDescent="0.4">
      <c r="A22" s="1">
        <v>120021</v>
      </c>
      <c r="B22" s="6"/>
      <c r="C22" s="6"/>
      <c r="D22" s="6"/>
      <c r="E22" s="6"/>
      <c r="F22" s="6"/>
      <c r="G22" s="1">
        <v>6</v>
      </c>
      <c r="H22" s="1">
        <v>37</v>
      </c>
      <c r="I22" s="5">
        <f t="shared" si="0"/>
        <v>42217.631578947374</v>
      </c>
      <c r="J22" s="6"/>
      <c r="K22" s="1" t="s">
        <v>25</v>
      </c>
      <c r="L22" s="6"/>
      <c r="M22" s="4">
        <f t="shared" si="1"/>
        <v>42217.631578947374</v>
      </c>
      <c r="N22" s="2">
        <v>309</v>
      </c>
    </row>
    <row r="23" spans="1:14" x14ac:dyDescent="0.4">
      <c r="A23" s="1">
        <v>120022</v>
      </c>
      <c r="B23" s="6"/>
      <c r="C23" s="6"/>
      <c r="D23" s="6"/>
      <c r="E23" s="6"/>
      <c r="F23" s="6"/>
      <c r="G23" s="7">
        <v>6.5</v>
      </c>
      <c r="H23" s="1">
        <v>38</v>
      </c>
      <c r="I23" s="5">
        <f t="shared" si="0"/>
        <v>42217.631578947374</v>
      </c>
      <c r="J23" s="6"/>
      <c r="K23" s="1" t="s">
        <v>25</v>
      </c>
      <c r="L23" s="6"/>
      <c r="M23" s="4">
        <f t="shared" si="1"/>
        <v>42217.631578947374</v>
      </c>
      <c r="N23" s="2">
        <v>309</v>
      </c>
    </row>
    <row r="24" spans="1:14" x14ac:dyDescent="0.4">
      <c r="A24" s="1">
        <v>120023</v>
      </c>
      <c r="B24" s="6"/>
      <c r="C24" s="6"/>
      <c r="D24" s="6"/>
      <c r="E24" s="6"/>
      <c r="F24" s="6"/>
      <c r="G24" s="1">
        <v>7</v>
      </c>
      <c r="H24" s="1">
        <v>39</v>
      </c>
      <c r="I24" s="5">
        <f t="shared" si="0"/>
        <v>42217.631578947374</v>
      </c>
      <c r="J24" s="6"/>
      <c r="K24" s="1" t="s">
        <v>25</v>
      </c>
      <c r="L24" s="6"/>
      <c r="M24" s="4">
        <f t="shared" si="1"/>
        <v>42217.631578947374</v>
      </c>
      <c r="N24" s="2">
        <v>309</v>
      </c>
    </row>
    <row r="25" spans="1:14" x14ac:dyDescent="0.4">
      <c r="A25" s="1">
        <v>120024</v>
      </c>
      <c r="B25" s="6"/>
      <c r="C25" s="6"/>
      <c r="D25" s="6"/>
      <c r="E25" s="6"/>
      <c r="F25" s="6"/>
      <c r="G25" s="7">
        <v>7.5</v>
      </c>
      <c r="H25" s="1">
        <v>40</v>
      </c>
      <c r="I25" s="5">
        <f t="shared" si="0"/>
        <v>42217.631578947374</v>
      </c>
      <c r="J25" s="6"/>
      <c r="K25" s="1" t="s">
        <v>25</v>
      </c>
      <c r="L25" s="6"/>
      <c r="M25" s="4">
        <f t="shared" si="1"/>
        <v>42217.631578947374</v>
      </c>
      <c r="N25" s="2">
        <v>309</v>
      </c>
    </row>
    <row r="26" spans="1:14" x14ac:dyDescent="0.4">
      <c r="A26" s="1">
        <v>120025</v>
      </c>
      <c r="B26" s="6"/>
      <c r="C26" s="6"/>
      <c r="D26" s="6"/>
      <c r="E26" s="6"/>
      <c r="F26" s="6"/>
      <c r="G26" s="1"/>
      <c r="H26" s="1"/>
      <c r="I26" s="6"/>
      <c r="J26" s="6"/>
      <c r="K26" s="6"/>
      <c r="L26" s="6"/>
    </row>
    <row r="27" spans="1:14" x14ac:dyDescent="0.4">
      <c r="A27" s="1">
        <v>120026</v>
      </c>
      <c r="B27" s="6"/>
      <c r="C27" s="6"/>
      <c r="D27" s="6"/>
      <c r="E27" s="6"/>
      <c r="F27" s="6"/>
      <c r="G27" s="1"/>
      <c r="H27" s="1"/>
      <c r="I27" s="6"/>
      <c r="J27" s="6"/>
      <c r="K27" s="6"/>
      <c r="L27"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DB198-90E3-43B8-AC7F-4804B31B1E93}">
  <dimension ref="A1:N27"/>
  <sheetViews>
    <sheetView topLeftCell="B4" workbookViewId="0">
      <selection activeCell="K17" sqref="K17"/>
    </sheetView>
  </sheetViews>
  <sheetFormatPr defaultRowHeight="14.6" x14ac:dyDescent="0.4"/>
  <cols>
    <col min="2" max="2" width="15.15234375" bestFit="1" customWidth="1"/>
    <col min="3" max="3" width="42" bestFit="1" customWidth="1"/>
    <col min="6" max="6" width="60.53515625" bestFit="1" customWidth="1"/>
    <col min="7" max="8" width="9.23046875" style="2"/>
  </cols>
  <sheetData>
    <row r="1" spans="1:14" x14ac:dyDescent="0.4">
      <c r="A1" s="1" t="s">
        <v>10</v>
      </c>
      <c r="B1" s="1" t="s">
        <v>2</v>
      </c>
      <c r="C1" s="1" t="s">
        <v>0</v>
      </c>
      <c r="D1" s="1" t="s">
        <v>8</v>
      </c>
      <c r="E1" s="1" t="s">
        <v>9</v>
      </c>
      <c r="F1" s="1" t="s">
        <v>12</v>
      </c>
      <c r="G1" s="1" t="s">
        <v>19</v>
      </c>
      <c r="H1" s="1" t="s">
        <v>20</v>
      </c>
      <c r="I1" s="1" t="s">
        <v>1</v>
      </c>
      <c r="J1" s="1" t="s">
        <v>3</v>
      </c>
      <c r="K1" s="1" t="s">
        <v>28</v>
      </c>
      <c r="L1" s="1" t="s">
        <v>27</v>
      </c>
      <c r="M1" s="2"/>
      <c r="N1" s="2"/>
    </row>
    <row r="2" spans="1:14" x14ac:dyDescent="0.4">
      <c r="A2" s="1">
        <v>120001</v>
      </c>
      <c r="B2" s="1" t="s">
        <v>53</v>
      </c>
      <c r="C2" s="1" t="s">
        <v>53</v>
      </c>
      <c r="D2" s="1" t="s">
        <v>6</v>
      </c>
      <c r="E2" s="1" t="s">
        <v>55</v>
      </c>
      <c r="F2" s="1" t="s">
        <v>54</v>
      </c>
      <c r="G2" s="1"/>
      <c r="H2" s="1">
        <v>38</v>
      </c>
      <c r="I2" s="5">
        <f>M2</f>
        <v>40303.947368421053</v>
      </c>
      <c r="J2" s="1"/>
      <c r="K2" s="1" t="s">
        <v>32</v>
      </c>
      <c r="L2" s="1"/>
      <c r="M2" s="4">
        <f>(N2*75+N2*75*0.01+12500+4200)/0.95</f>
        <v>40303.947368421053</v>
      </c>
      <c r="N2" s="2">
        <v>285</v>
      </c>
    </row>
    <row r="3" spans="1:14" x14ac:dyDescent="0.4">
      <c r="A3" s="1">
        <v>120002</v>
      </c>
      <c r="B3" s="1"/>
      <c r="C3" s="2"/>
      <c r="D3" s="1"/>
      <c r="E3" s="1"/>
      <c r="F3" s="1"/>
      <c r="G3" s="1"/>
      <c r="H3" s="1">
        <v>39</v>
      </c>
      <c r="I3" s="5">
        <f t="shared" ref="I3:I25" si="0">M3</f>
        <v>39745.789473684214</v>
      </c>
      <c r="J3" s="1"/>
      <c r="K3" s="1" t="s">
        <v>32</v>
      </c>
      <c r="L3" s="1"/>
      <c r="M3" s="4">
        <f t="shared" ref="M3:M25" si="1">(N3*75+N3*75*0.01+12500+4200)/0.95</f>
        <v>39745.789473684214</v>
      </c>
      <c r="N3" s="2">
        <v>278</v>
      </c>
    </row>
    <row r="4" spans="1:14" x14ac:dyDescent="0.4">
      <c r="A4" s="1">
        <v>120003</v>
      </c>
      <c r="B4" s="1"/>
      <c r="C4" s="1"/>
      <c r="D4" s="1"/>
      <c r="E4" s="1"/>
      <c r="F4" s="1"/>
      <c r="G4" s="1"/>
      <c r="H4" s="1">
        <v>40</v>
      </c>
      <c r="I4" s="5">
        <f t="shared" si="0"/>
        <v>41021.57894736842</v>
      </c>
      <c r="J4" s="1"/>
      <c r="K4" s="1" t="s">
        <v>32</v>
      </c>
      <c r="L4" s="1"/>
      <c r="M4" s="4">
        <f t="shared" si="1"/>
        <v>41021.57894736842</v>
      </c>
      <c r="N4" s="2">
        <v>294</v>
      </c>
    </row>
    <row r="5" spans="1:14" x14ac:dyDescent="0.4">
      <c r="A5" s="1">
        <v>120004</v>
      </c>
      <c r="B5" s="1"/>
      <c r="C5" s="1"/>
      <c r="D5" s="1"/>
      <c r="E5" s="1"/>
      <c r="F5" s="1"/>
      <c r="G5" s="1"/>
      <c r="H5" s="1">
        <v>41</v>
      </c>
      <c r="I5" s="5">
        <f t="shared" si="0"/>
        <v>40463.42105263158</v>
      </c>
      <c r="J5" s="1"/>
      <c r="K5" s="1" t="s">
        <v>32</v>
      </c>
      <c r="L5" s="1"/>
      <c r="M5" s="4">
        <f t="shared" si="1"/>
        <v>40463.42105263158</v>
      </c>
      <c r="N5" s="2">
        <v>287</v>
      </c>
    </row>
    <row r="6" spans="1:14" x14ac:dyDescent="0.4">
      <c r="A6" s="1">
        <v>120005</v>
      </c>
      <c r="B6" s="1"/>
      <c r="C6" s="1"/>
      <c r="D6" s="1"/>
      <c r="E6" s="1"/>
      <c r="F6" s="1"/>
      <c r="G6" s="1"/>
      <c r="H6" s="1">
        <v>42</v>
      </c>
      <c r="I6" s="5">
        <f t="shared" si="0"/>
        <v>40463.42105263158</v>
      </c>
      <c r="J6" s="1"/>
      <c r="K6" s="1" t="s">
        <v>32</v>
      </c>
      <c r="L6" s="1"/>
      <c r="M6" s="4">
        <f t="shared" si="1"/>
        <v>40463.42105263158</v>
      </c>
      <c r="N6" s="2">
        <v>287</v>
      </c>
    </row>
    <row r="7" spans="1:14" x14ac:dyDescent="0.4">
      <c r="A7" s="1">
        <v>120006</v>
      </c>
      <c r="B7" s="1"/>
      <c r="C7" s="1"/>
      <c r="D7" s="1"/>
      <c r="E7" s="1"/>
      <c r="F7" s="1"/>
      <c r="G7" s="1"/>
      <c r="H7" s="1">
        <v>43</v>
      </c>
      <c r="I7" s="5">
        <f t="shared" si="0"/>
        <v>39985</v>
      </c>
      <c r="J7" s="1"/>
      <c r="K7" s="1" t="s">
        <v>32</v>
      </c>
      <c r="L7" s="1"/>
      <c r="M7" s="4">
        <f t="shared" si="1"/>
        <v>39985</v>
      </c>
      <c r="N7" s="2">
        <v>281</v>
      </c>
    </row>
    <row r="8" spans="1:14" x14ac:dyDescent="0.4">
      <c r="A8" s="1">
        <v>120007</v>
      </c>
      <c r="B8" s="1"/>
      <c r="C8" s="1"/>
      <c r="D8" s="1"/>
      <c r="E8" s="1"/>
      <c r="F8" s="1"/>
      <c r="G8" s="1"/>
      <c r="H8" s="1">
        <v>44</v>
      </c>
      <c r="I8" s="5">
        <f t="shared" si="0"/>
        <v>39267.368421052633</v>
      </c>
      <c r="J8" s="1"/>
      <c r="K8" s="1" t="s">
        <v>32</v>
      </c>
      <c r="L8" s="1"/>
      <c r="M8" s="4">
        <f t="shared" si="1"/>
        <v>39267.368421052633</v>
      </c>
      <c r="N8" s="2">
        <v>272</v>
      </c>
    </row>
    <row r="9" spans="1:14" x14ac:dyDescent="0.4">
      <c r="A9" s="1">
        <v>120008</v>
      </c>
      <c r="B9" s="1"/>
      <c r="C9" s="1"/>
      <c r="D9" s="1"/>
      <c r="E9" s="1"/>
      <c r="F9" s="1"/>
      <c r="G9" s="1"/>
      <c r="H9" s="1">
        <v>45</v>
      </c>
      <c r="I9" s="5">
        <f t="shared" si="0"/>
        <v>40941.84210526316</v>
      </c>
      <c r="J9" s="1"/>
      <c r="K9" s="1" t="s">
        <v>32</v>
      </c>
      <c r="L9" s="1"/>
      <c r="M9" s="4">
        <f t="shared" si="1"/>
        <v>40941.84210526316</v>
      </c>
      <c r="N9" s="2">
        <v>293</v>
      </c>
    </row>
    <row r="10" spans="1:14" x14ac:dyDescent="0.4">
      <c r="A10" s="1">
        <v>120009</v>
      </c>
      <c r="B10" s="1"/>
      <c r="C10" s="1"/>
      <c r="D10" s="1"/>
      <c r="E10" s="1"/>
      <c r="F10" s="1"/>
      <c r="G10" s="1"/>
      <c r="H10" s="1">
        <v>46</v>
      </c>
      <c r="I10" s="5">
        <f t="shared" si="0"/>
        <v>47001.84210526316</v>
      </c>
      <c r="J10" s="1"/>
      <c r="K10" s="1" t="s">
        <v>32</v>
      </c>
      <c r="L10" s="1"/>
      <c r="M10" s="4">
        <f t="shared" si="1"/>
        <v>47001.84210526316</v>
      </c>
      <c r="N10" s="2">
        <v>369</v>
      </c>
    </row>
    <row r="11" spans="1:14" x14ac:dyDescent="0.4">
      <c r="A11" s="1">
        <v>120010</v>
      </c>
      <c r="B11" s="1"/>
      <c r="C11" s="1"/>
      <c r="D11" s="1"/>
      <c r="E11" s="1"/>
      <c r="F11" s="1"/>
      <c r="G11" s="1"/>
      <c r="H11" s="1">
        <v>47</v>
      </c>
      <c r="I11" s="5">
        <f t="shared" si="0"/>
        <v>49393.947368421053</v>
      </c>
      <c r="J11" s="1"/>
      <c r="K11" s="1" t="s">
        <v>32</v>
      </c>
      <c r="L11" s="1"/>
      <c r="M11" s="4">
        <f t="shared" si="1"/>
        <v>49393.947368421053</v>
      </c>
      <c r="N11" s="2">
        <v>399</v>
      </c>
    </row>
    <row r="12" spans="1:14" x14ac:dyDescent="0.4">
      <c r="A12" s="1">
        <v>120011</v>
      </c>
      <c r="B12" s="1"/>
      <c r="C12" s="1" t="s">
        <v>56</v>
      </c>
      <c r="D12" s="1" t="s">
        <v>57</v>
      </c>
      <c r="E12" s="1" t="s">
        <v>55</v>
      </c>
      <c r="F12" s="1" t="s">
        <v>58</v>
      </c>
      <c r="G12" s="7">
        <v>4.5</v>
      </c>
      <c r="H12" s="1">
        <v>34</v>
      </c>
      <c r="I12" s="5">
        <f t="shared" si="0"/>
        <v>17578.947368421053</v>
      </c>
      <c r="J12" s="1"/>
      <c r="K12" s="1" t="s">
        <v>32</v>
      </c>
      <c r="L12" s="1"/>
      <c r="M12" s="4">
        <f t="shared" si="1"/>
        <v>17578.947368421053</v>
      </c>
      <c r="N12" s="2"/>
    </row>
    <row r="13" spans="1:14" x14ac:dyDescent="0.4">
      <c r="A13" s="1">
        <v>120012</v>
      </c>
      <c r="B13" s="1"/>
      <c r="C13" s="1"/>
      <c r="D13" s="1"/>
      <c r="E13" s="1"/>
      <c r="F13" s="1"/>
      <c r="G13" s="1">
        <v>5</v>
      </c>
      <c r="H13" s="1">
        <v>35</v>
      </c>
      <c r="I13" s="5">
        <f t="shared" si="0"/>
        <v>42217.631578947374</v>
      </c>
      <c r="J13" s="1"/>
      <c r="K13" s="1" t="s">
        <v>25</v>
      </c>
      <c r="L13" s="1"/>
      <c r="M13" s="4">
        <f t="shared" si="1"/>
        <v>42217.631578947374</v>
      </c>
      <c r="N13" s="2">
        <v>309</v>
      </c>
    </row>
    <row r="14" spans="1:14" x14ac:dyDescent="0.4">
      <c r="A14" s="1">
        <v>120013</v>
      </c>
      <c r="B14" s="1"/>
      <c r="C14" s="1"/>
      <c r="D14" s="1"/>
      <c r="E14" s="1"/>
      <c r="F14" s="1"/>
      <c r="G14" s="7">
        <v>5.5</v>
      </c>
      <c r="H14" s="1">
        <v>36</v>
      </c>
      <c r="I14" s="5">
        <f t="shared" si="0"/>
        <v>41340.526315789473</v>
      </c>
      <c r="J14" s="1"/>
      <c r="K14" s="1" t="s">
        <v>25</v>
      </c>
      <c r="L14" s="1"/>
      <c r="M14" s="4">
        <f t="shared" si="1"/>
        <v>41340.526315789473</v>
      </c>
      <c r="N14" s="2">
        <v>298</v>
      </c>
    </row>
    <row r="15" spans="1:14" x14ac:dyDescent="0.4">
      <c r="A15" s="1">
        <v>120014</v>
      </c>
      <c r="B15" s="1"/>
      <c r="C15" s="1"/>
      <c r="D15" s="1"/>
      <c r="E15" s="1"/>
      <c r="F15" s="1"/>
      <c r="G15" s="1">
        <v>6</v>
      </c>
      <c r="H15" s="1">
        <v>37</v>
      </c>
      <c r="I15" s="5">
        <f t="shared" si="0"/>
        <v>41101.315789473687</v>
      </c>
      <c r="J15" s="1"/>
      <c r="K15" s="1" t="s">
        <v>25</v>
      </c>
      <c r="L15" s="1"/>
      <c r="M15" s="4">
        <f t="shared" si="1"/>
        <v>41101.315789473687</v>
      </c>
      <c r="N15" s="2">
        <v>295</v>
      </c>
    </row>
    <row r="16" spans="1:14" x14ac:dyDescent="0.4">
      <c r="A16" s="1">
        <v>120015</v>
      </c>
      <c r="B16" s="1"/>
      <c r="C16" s="1"/>
      <c r="D16" s="1"/>
      <c r="E16" s="1"/>
      <c r="F16" s="1"/>
      <c r="G16" s="7">
        <v>6.5</v>
      </c>
      <c r="H16" s="1">
        <v>38</v>
      </c>
      <c r="I16" s="5">
        <f t="shared" si="0"/>
        <v>42217.631578947374</v>
      </c>
      <c r="J16" s="1"/>
      <c r="K16" s="1" t="s">
        <v>25</v>
      </c>
      <c r="L16" s="1"/>
      <c r="M16" s="4">
        <f t="shared" si="1"/>
        <v>42217.631578947374</v>
      </c>
      <c r="N16" s="2">
        <v>309</v>
      </c>
    </row>
    <row r="17" spans="1:14" x14ac:dyDescent="0.4">
      <c r="A17" s="1">
        <v>120016</v>
      </c>
      <c r="B17" s="1"/>
      <c r="C17" s="1"/>
      <c r="D17" s="1"/>
      <c r="E17" s="1"/>
      <c r="F17" s="1"/>
      <c r="G17" s="1">
        <v>7</v>
      </c>
      <c r="H17" s="1">
        <v>39</v>
      </c>
      <c r="I17" s="5">
        <f t="shared" si="0"/>
        <v>42775.789473684214</v>
      </c>
      <c r="J17" s="1"/>
      <c r="K17" s="1" t="s">
        <v>25</v>
      </c>
      <c r="L17" s="1"/>
      <c r="M17" s="4">
        <f t="shared" si="1"/>
        <v>42775.789473684214</v>
      </c>
      <c r="N17" s="2">
        <v>316</v>
      </c>
    </row>
    <row r="18" spans="1:14" x14ac:dyDescent="0.4">
      <c r="A18" s="1">
        <v>120017</v>
      </c>
      <c r="B18" s="6"/>
      <c r="C18" s="6"/>
      <c r="D18" s="6"/>
      <c r="E18" s="6"/>
      <c r="F18" s="6"/>
      <c r="G18" s="7">
        <v>7.5</v>
      </c>
      <c r="H18" s="1">
        <v>40</v>
      </c>
      <c r="I18" s="5">
        <f t="shared" si="0"/>
        <v>42775.789473684214</v>
      </c>
      <c r="J18" s="6"/>
      <c r="K18" s="1" t="s">
        <v>25</v>
      </c>
      <c r="L18" s="6"/>
      <c r="M18" s="4">
        <f t="shared" si="1"/>
        <v>42775.789473684214</v>
      </c>
      <c r="N18" s="2">
        <v>316</v>
      </c>
    </row>
    <row r="19" spans="1:14" x14ac:dyDescent="0.4">
      <c r="A19" s="1">
        <v>120018</v>
      </c>
      <c r="B19" s="6"/>
      <c r="C19" s="6"/>
      <c r="D19" s="6"/>
      <c r="E19" s="1" t="s">
        <v>43</v>
      </c>
      <c r="F19" s="6" t="s">
        <v>59</v>
      </c>
      <c r="G19" s="7">
        <v>4.5</v>
      </c>
      <c r="H19" s="1">
        <v>34</v>
      </c>
      <c r="I19" s="5">
        <f t="shared" si="0"/>
        <v>42775.789473684214</v>
      </c>
      <c r="J19" s="6"/>
      <c r="K19" s="1" t="s">
        <v>32</v>
      </c>
      <c r="L19" s="6"/>
      <c r="M19" s="4">
        <f t="shared" si="1"/>
        <v>42775.789473684214</v>
      </c>
      <c r="N19" s="2">
        <v>316</v>
      </c>
    </row>
    <row r="20" spans="1:14" x14ac:dyDescent="0.4">
      <c r="A20" s="1">
        <v>120019</v>
      </c>
      <c r="B20" s="6"/>
      <c r="C20" s="6"/>
      <c r="D20" s="6"/>
      <c r="E20" s="6"/>
      <c r="F20" s="6"/>
      <c r="G20" s="1">
        <v>5</v>
      </c>
      <c r="H20" s="1">
        <v>35</v>
      </c>
      <c r="I20" s="5">
        <f t="shared" si="0"/>
        <v>42775.789473684214</v>
      </c>
      <c r="J20" s="6"/>
      <c r="K20" s="1" t="s">
        <v>25</v>
      </c>
      <c r="L20" s="6"/>
      <c r="M20" s="4">
        <f t="shared" si="1"/>
        <v>42775.789473684214</v>
      </c>
      <c r="N20" s="2">
        <v>316</v>
      </c>
    </row>
    <row r="21" spans="1:14" x14ac:dyDescent="0.4">
      <c r="A21" s="1">
        <v>120020</v>
      </c>
      <c r="B21" s="6"/>
      <c r="C21" s="6"/>
      <c r="D21" s="6"/>
      <c r="E21" s="6"/>
      <c r="F21" s="6"/>
      <c r="G21" s="7">
        <v>5.5</v>
      </c>
      <c r="H21" s="1">
        <v>36</v>
      </c>
      <c r="I21" s="5">
        <f t="shared" si="0"/>
        <v>42775.789473684214</v>
      </c>
      <c r="J21" s="6"/>
      <c r="K21" s="1" t="s">
        <v>25</v>
      </c>
      <c r="L21" s="6"/>
      <c r="M21" s="4">
        <f t="shared" si="1"/>
        <v>42775.789473684214</v>
      </c>
      <c r="N21" s="2">
        <v>316</v>
      </c>
    </row>
    <row r="22" spans="1:14" x14ac:dyDescent="0.4">
      <c r="A22" s="1">
        <v>120021</v>
      </c>
      <c r="B22" s="6"/>
      <c r="C22" s="6"/>
      <c r="D22" s="6"/>
      <c r="E22" s="6"/>
      <c r="F22" s="6"/>
      <c r="G22" s="1">
        <v>6</v>
      </c>
      <c r="H22" s="1">
        <v>37</v>
      </c>
      <c r="I22" s="5">
        <f t="shared" si="0"/>
        <v>42217.631578947374</v>
      </c>
      <c r="J22" s="6"/>
      <c r="K22" s="1" t="s">
        <v>25</v>
      </c>
      <c r="L22" s="6"/>
      <c r="M22" s="4">
        <f t="shared" si="1"/>
        <v>42217.631578947374</v>
      </c>
      <c r="N22" s="2">
        <v>309</v>
      </c>
    </row>
    <row r="23" spans="1:14" x14ac:dyDescent="0.4">
      <c r="A23" s="1">
        <v>120022</v>
      </c>
      <c r="B23" s="6"/>
      <c r="C23" s="6"/>
      <c r="D23" s="6"/>
      <c r="E23" s="6"/>
      <c r="F23" s="6"/>
      <c r="G23" s="7">
        <v>6.5</v>
      </c>
      <c r="H23" s="1">
        <v>38</v>
      </c>
      <c r="I23" s="5">
        <f t="shared" si="0"/>
        <v>42217.631578947374</v>
      </c>
      <c r="J23" s="6"/>
      <c r="K23" s="1" t="s">
        <v>25</v>
      </c>
      <c r="L23" s="6"/>
      <c r="M23" s="4">
        <f t="shared" si="1"/>
        <v>42217.631578947374</v>
      </c>
      <c r="N23" s="2">
        <v>309</v>
      </c>
    </row>
    <row r="24" spans="1:14" x14ac:dyDescent="0.4">
      <c r="A24" s="1">
        <v>120023</v>
      </c>
      <c r="B24" s="6"/>
      <c r="C24" s="6"/>
      <c r="D24" s="6"/>
      <c r="E24" s="6"/>
      <c r="F24" s="6"/>
      <c r="G24" s="1">
        <v>7</v>
      </c>
      <c r="H24" s="1">
        <v>39</v>
      </c>
      <c r="I24" s="5">
        <f t="shared" si="0"/>
        <v>42217.631578947374</v>
      </c>
      <c r="J24" s="6"/>
      <c r="K24" s="1" t="s">
        <v>25</v>
      </c>
      <c r="L24" s="6"/>
      <c r="M24" s="4">
        <f t="shared" si="1"/>
        <v>42217.631578947374</v>
      </c>
      <c r="N24" s="2">
        <v>309</v>
      </c>
    </row>
    <row r="25" spans="1:14" x14ac:dyDescent="0.4">
      <c r="A25" s="1">
        <v>120024</v>
      </c>
      <c r="B25" s="6"/>
      <c r="C25" s="6"/>
      <c r="D25" s="6"/>
      <c r="E25" s="6"/>
      <c r="F25" s="6"/>
      <c r="G25" s="7">
        <v>7.5</v>
      </c>
      <c r="H25" s="1">
        <v>40</v>
      </c>
      <c r="I25" s="5">
        <f t="shared" si="0"/>
        <v>42217.631578947374</v>
      </c>
      <c r="J25" s="6"/>
      <c r="K25" s="1" t="s">
        <v>25</v>
      </c>
      <c r="L25" s="6"/>
      <c r="M25" s="4">
        <f t="shared" si="1"/>
        <v>42217.631578947374</v>
      </c>
      <c r="N25" s="2">
        <v>309</v>
      </c>
    </row>
    <row r="26" spans="1:14" x14ac:dyDescent="0.4">
      <c r="A26" s="1">
        <v>120025</v>
      </c>
      <c r="B26" s="6"/>
      <c r="C26" s="6"/>
      <c r="D26" s="6"/>
      <c r="E26" s="6"/>
      <c r="F26" s="6"/>
      <c r="G26" s="1"/>
      <c r="H26" s="1"/>
      <c r="I26" s="6"/>
      <c r="J26" s="6"/>
      <c r="K26" s="6"/>
      <c r="L26" s="6"/>
    </row>
    <row r="27" spans="1:14" x14ac:dyDescent="0.4">
      <c r="A27" s="1">
        <v>120026</v>
      </c>
      <c r="B27" s="6"/>
      <c r="C27" s="6"/>
      <c r="D27" s="6"/>
      <c r="E27" s="6"/>
      <c r="F27" s="6"/>
      <c r="G27" s="1"/>
      <c r="H27" s="1"/>
      <c r="I27" s="6"/>
      <c r="J27" s="6"/>
      <c r="K27" s="6"/>
      <c r="L27"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B5749-20E2-4B7E-AD5C-A725C3BDEA3B}">
  <dimension ref="A1:R27"/>
  <sheetViews>
    <sheetView topLeftCell="C3" zoomScale="60" zoomScaleNormal="60" workbookViewId="0">
      <selection activeCell="P10" sqref="P10"/>
    </sheetView>
  </sheetViews>
  <sheetFormatPr defaultRowHeight="14.6" x14ac:dyDescent="0.4"/>
  <cols>
    <col min="2" max="2" width="15.15234375" bestFit="1" customWidth="1"/>
    <col min="3" max="3" width="42" bestFit="1" customWidth="1"/>
    <col min="6" max="6" width="60.53515625" bestFit="1" customWidth="1"/>
    <col min="7" max="8" width="9.23046875" style="2"/>
    <col min="12" max="12" width="66.765625" customWidth="1"/>
    <col min="15" max="15" width="26.53515625" bestFit="1" customWidth="1"/>
  </cols>
  <sheetData>
    <row r="1" spans="1:18" x14ac:dyDescent="0.4">
      <c r="A1" s="1" t="s">
        <v>10</v>
      </c>
      <c r="B1" s="1" t="s">
        <v>2</v>
      </c>
      <c r="C1" s="1" t="s">
        <v>0</v>
      </c>
      <c r="D1" s="1" t="s">
        <v>8</v>
      </c>
      <c r="E1" s="1" t="s">
        <v>9</v>
      </c>
      <c r="F1" s="1" t="s">
        <v>12</v>
      </c>
      <c r="G1" s="1" t="s">
        <v>19</v>
      </c>
      <c r="H1" s="1" t="s">
        <v>20</v>
      </c>
      <c r="I1" s="1" t="s">
        <v>1</v>
      </c>
      <c r="J1" s="1" t="s">
        <v>3</v>
      </c>
      <c r="K1" s="1" t="s">
        <v>28</v>
      </c>
      <c r="L1" s="1" t="s">
        <v>27</v>
      </c>
      <c r="M1" s="2"/>
      <c r="N1" s="2"/>
    </row>
    <row r="2" spans="1:18" ht="291.45" x14ac:dyDescent="0.4">
      <c r="A2" s="1">
        <v>130001</v>
      </c>
      <c r="B2" s="1" t="s">
        <v>106</v>
      </c>
      <c r="C2" s="1" t="s">
        <v>107</v>
      </c>
      <c r="D2" s="1" t="s">
        <v>108</v>
      </c>
      <c r="E2" s="1" t="s">
        <v>86</v>
      </c>
      <c r="F2" s="1" t="s">
        <v>109</v>
      </c>
      <c r="G2" s="12" t="s">
        <v>110</v>
      </c>
      <c r="H2" s="12">
        <v>31.5</v>
      </c>
      <c r="I2" s="5">
        <f>M2</f>
        <v>23160.526315789473</v>
      </c>
      <c r="J2" s="1"/>
      <c r="K2" s="1" t="s">
        <v>25</v>
      </c>
      <c r="L2" s="9" t="s">
        <v>111</v>
      </c>
      <c r="M2" s="4">
        <f>(N2*75+N2*75*0.01+12500+4200)/0.95</f>
        <v>23160.526315789473</v>
      </c>
      <c r="N2" s="2">
        <v>70</v>
      </c>
      <c r="O2" s="8" t="s">
        <v>130</v>
      </c>
      <c r="P2" s="13"/>
      <c r="Q2" s="13"/>
      <c r="R2" s="13"/>
    </row>
    <row r="3" spans="1:18" ht="291.45" x14ac:dyDescent="0.4">
      <c r="A3" s="1">
        <v>130002</v>
      </c>
      <c r="B3" s="1"/>
      <c r="C3" s="1" t="s">
        <v>107</v>
      </c>
      <c r="D3" s="1" t="s">
        <v>108</v>
      </c>
      <c r="E3" s="1" t="s">
        <v>43</v>
      </c>
      <c r="F3" s="1" t="s">
        <v>117</v>
      </c>
      <c r="G3" s="12" t="s">
        <v>118</v>
      </c>
      <c r="H3" s="12">
        <v>30</v>
      </c>
      <c r="I3" s="5">
        <f>M3</f>
        <v>23160.526315789473</v>
      </c>
      <c r="J3" s="1"/>
      <c r="K3" s="1" t="s">
        <v>25</v>
      </c>
      <c r="L3" s="9" t="s">
        <v>111</v>
      </c>
      <c r="M3" s="4">
        <f>(N3*75+N3*75*0.01+12500+4200)/0.95</f>
        <v>23160.526315789473</v>
      </c>
      <c r="N3" s="2">
        <v>70</v>
      </c>
      <c r="O3" s="16" t="s">
        <v>129</v>
      </c>
      <c r="P3" s="17"/>
      <c r="Q3" s="17"/>
      <c r="R3" s="17"/>
    </row>
    <row r="4" spans="1:18" x14ac:dyDescent="0.4">
      <c r="A4" s="1">
        <v>130003</v>
      </c>
      <c r="B4" s="1"/>
      <c r="C4" s="1"/>
      <c r="D4" s="1"/>
      <c r="E4" s="1"/>
      <c r="F4" s="1"/>
      <c r="G4" s="12"/>
      <c r="H4" s="12"/>
      <c r="I4" s="5"/>
      <c r="J4" s="1"/>
      <c r="K4" s="1"/>
      <c r="L4" s="1"/>
      <c r="M4" s="4"/>
      <c r="N4" s="2"/>
      <c r="O4" s="18"/>
      <c r="P4" s="17"/>
      <c r="Q4" s="17"/>
      <c r="R4" s="17"/>
    </row>
    <row r="5" spans="1:18" x14ac:dyDescent="0.4">
      <c r="A5" s="1">
        <v>130004</v>
      </c>
      <c r="B5" s="1"/>
      <c r="C5" s="1"/>
      <c r="D5" s="1"/>
      <c r="E5" s="1"/>
      <c r="F5" s="1"/>
      <c r="G5" s="12"/>
      <c r="H5" s="12"/>
      <c r="I5" s="5"/>
      <c r="J5" s="1"/>
      <c r="K5" s="1"/>
      <c r="L5" s="1"/>
      <c r="M5" s="4"/>
      <c r="N5" s="2"/>
      <c r="O5" s="18"/>
      <c r="P5" s="17"/>
      <c r="Q5" s="17"/>
      <c r="R5" s="17"/>
    </row>
    <row r="6" spans="1:18" x14ac:dyDescent="0.4">
      <c r="A6" s="1">
        <v>130005</v>
      </c>
      <c r="B6" s="1"/>
      <c r="C6" s="1"/>
      <c r="D6" s="1"/>
      <c r="E6" s="1"/>
      <c r="F6" s="1"/>
      <c r="G6" s="12"/>
      <c r="H6" s="12"/>
      <c r="I6" s="5"/>
      <c r="J6" s="1"/>
      <c r="K6" s="1"/>
      <c r="L6" s="1"/>
      <c r="M6" s="4"/>
      <c r="N6" s="2"/>
      <c r="O6" s="18"/>
      <c r="P6" s="17"/>
      <c r="Q6" s="17"/>
      <c r="R6" s="17"/>
    </row>
    <row r="7" spans="1:18" x14ac:dyDescent="0.4">
      <c r="A7" s="1">
        <v>130006</v>
      </c>
      <c r="B7" s="1"/>
      <c r="C7" s="1"/>
      <c r="D7" s="1"/>
      <c r="E7" s="1"/>
      <c r="F7" s="1"/>
      <c r="G7" s="12"/>
      <c r="H7" s="12"/>
      <c r="I7" s="5"/>
      <c r="J7" s="1"/>
      <c r="K7" s="1"/>
      <c r="L7" s="1"/>
      <c r="M7" s="4"/>
      <c r="N7" s="2"/>
      <c r="O7" s="18"/>
      <c r="P7" s="17"/>
      <c r="Q7" s="17"/>
      <c r="R7" s="17"/>
    </row>
    <row r="8" spans="1:18" x14ac:dyDescent="0.4">
      <c r="A8" s="1">
        <v>130007</v>
      </c>
      <c r="B8" s="1"/>
      <c r="C8" s="1"/>
      <c r="D8" s="1"/>
      <c r="E8" s="1"/>
      <c r="F8" s="1"/>
      <c r="G8" s="12"/>
      <c r="H8" s="12"/>
      <c r="I8" s="5"/>
      <c r="J8" s="1"/>
      <c r="K8" s="1"/>
      <c r="L8" s="1"/>
      <c r="M8" s="4"/>
      <c r="N8" s="2"/>
      <c r="O8" s="18"/>
      <c r="P8" s="17"/>
      <c r="Q8" s="17"/>
      <c r="R8" s="17"/>
    </row>
    <row r="9" spans="1:18" x14ac:dyDescent="0.4">
      <c r="A9" s="1">
        <v>130008</v>
      </c>
      <c r="B9" s="1"/>
      <c r="C9" s="1"/>
      <c r="D9" s="1"/>
      <c r="E9" s="1"/>
      <c r="F9" s="1"/>
      <c r="G9" s="12"/>
      <c r="H9" s="12"/>
      <c r="I9" s="5"/>
      <c r="J9" s="1"/>
      <c r="K9" s="1"/>
      <c r="L9" s="1"/>
      <c r="M9" s="4"/>
      <c r="N9" s="2"/>
      <c r="O9" s="18"/>
      <c r="P9" s="17"/>
      <c r="Q9" s="17"/>
      <c r="R9" s="17"/>
    </row>
    <row r="10" spans="1:18" x14ac:dyDescent="0.4">
      <c r="A10" s="1">
        <v>130009</v>
      </c>
      <c r="B10" s="1"/>
      <c r="C10" s="1"/>
      <c r="D10" s="1"/>
      <c r="E10" s="1"/>
      <c r="F10" s="1"/>
      <c r="G10" s="12"/>
      <c r="H10" s="12"/>
      <c r="I10" s="5"/>
      <c r="J10" s="1"/>
      <c r="K10" s="1"/>
      <c r="L10" s="1"/>
      <c r="M10" s="4"/>
      <c r="N10" s="2"/>
      <c r="O10" s="18"/>
      <c r="P10" s="17"/>
      <c r="Q10" s="17"/>
      <c r="R10" s="17"/>
    </row>
    <row r="11" spans="1:18" x14ac:dyDescent="0.4">
      <c r="A11" s="1">
        <v>130010</v>
      </c>
      <c r="B11" s="1"/>
      <c r="C11" s="1"/>
      <c r="D11" s="1"/>
      <c r="E11" s="1"/>
      <c r="F11" s="1"/>
      <c r="G11" s="12"/>
      <c r="H11" s="12"/>
      <c r="I11" s="5"/>
      <c r="J11" s="1"/>
      <c r="K11" s="1"/>
      <c r="L11" s="1"/>
      <c r="M11" s="4"/>
      <c r="N11" s="2"/>
      <c r="O11" s="18"/>
      <c r="P11" s="17"/>
      <c r="Q11" s="17"/>
      <c r="R11" s="17"/>
    </row>
    <row r="12" spans="1:18" x14ac:dyDescent="0.4">
      <c r="A12" s="1">
        <v>130011</v>
      </c>
      <c r="B12" s="1"/>
      <c r="C12" s="1"/>
      <c r="D12" s="1"/>
      <c r="E12" s="1"/>
      <c r="F12" s="1"/>
      <c r="G12" s="12"/>
      <c r="H12" s="12"/>
      <c r="I12" s="5"/>
      <c r="J12" s="1"/>
      <c r="K12" s="1"/>
      <c r="L12" s="1"/>
      <c r="M12" s="4"/>
      <c r="N12" s="2"/>
      <c r="O12" s="18"/>
      <c r="P12" s="17"/>
      <c r="Q12" s="17"/>
      <c r="R12" s="17"/>
    </row>
    <row r="13" spans="1:18" x14ac:dyDescent="0.4">
      <c r="A13" s="1">
        <v>130012</v>
      </c>
      <c r="B13" s="1"/>
      <c r="C13" s="1"/>
      <c r="D13" s="1"/>
      <c r="E13" s="1"/>
      <c r="F13" s="1"/>
      <c r="G13" s="12"/>
      <c r="H13" s="12"/>
      <c r="I13" s="5"/>
      <c r="J13" s="1"/>
      <c r="K13" s="1"/>
      <c r="L13" s="1"/>
      <c r="M13" s="4"/>
      <c r="N13" s="2"/>
      <c r="O13" s="18"/>
      <c r="P13" s="17"/>
      <c r="Q13" s="17"/>
      <c r="R13" s="17"/>
    </row>
    <row r="14" spans="1:18" x14ac:dyDescent="0.4">
      <c r="A14" s="1">
        <v>130013</v>
      </c>
      <c r="B14" s="1"/>
      <c r="C14" s="1"/>
      <c r="D14" s="1"/>
      <c r="E14" s="1"/>
      <c r="F14" s="1"/>
      <c r="G14" s="12"/>
      <c r="H14" s="12"/>
      <c r="I14" s="5"/>
      <c r="J14" s="1"/>
      <c r="K14" s="1"/>
      <c r="L14" s="1"/>
      <c r="M14" s="4"/>
      <c r="N14" s="2"/>
      <c r="O14" s="18"/>
      <c r="P14" s="17"/>
      <c r="Q14" s="17"/>
      <c r="R14" s="17"/>
    </row>
    <row r="15" spans="1:18" x14ac:dyDescent="0.4">
      <c r="A15" s="1">
        <v>130014</v>
      </c>
      <c r="B15" s="1"/>
      <c r="C15" s="1"/>
      <c r="D15" s="1"/>
      <c r="E15" s="1"/>
      <c r="F15" s="1"/>
      <c r="G15" s="12"/>
      <c r="H15" s="12"/>
      <c r="I15" s="5"/>
      <c r="J15" s="1"/>
      <c r="K15" s="1"/>
      <c r="L15" s="1"/>
      <c r="M15" s="4"/>
      <c r="N15" s="2"/>
      <c r="O15" s="18"/>
      <c r="P15" s="17"/>
      <c r="Q15" s="17"/>
      <c r="R15" s="17"/>
    </row>
    <row r="16" spans="1:18" x14ac:dyDescent="0.4">
      <c r="A16" s="1">
        <v>130015</v>
      </c>
      <c r="B16" s="1"/>
      <c r="C16" s="1"/>
      <c r="D16" s="1"/>
      <c r="E16" s="1"/>
      <c r="F16" s="1"/>
      <c r="G16" s="12"/>
      <c r="H16" s="12"/>
      <c r="I16" s="5"/>
      <c r="J16" s="1"/>
      <c r="K16" s="1"/>
      <c r="L16" s="1"/>
      <c r="M16" s="4"/>
      <c r="N16" s="2"/>
      <c r="O16" s="18"/>
      <c r="P16" s="17"/>
      <c r="Q16" s="17"/>
      <c r="R16" s="17"/>
    </row>
    <row r="17" spans="1:18" x14ac:dyDescent="0.4">
      <c r="A17" s="1">
        <v>130016</v>
      </c>
      <c r="B17" s="1"/>
      <c r="C17" s="1"/>
      <c r="D17" s="1"/>
      <c r="E17" s="1"/>
      <c r="F17" s="1"/>
      <c r="G17" s="12"/>
      <c r="H17" s="12"/>
      <c r="I17" s="5"/>
      <c r="J17" s="1"/>
      <c r="K17" s="1"/>
      <c r="L17" s="1"/>
      <c r="M17" s="4"/>
      <c r="N17" s="2"/>
      <c r="O17" s="18"/>
      <c r="P17" s="17"/>
      <c r="Q17" s="17"/>
      <c r="R17" s="17"/>
    </row>
    <row r="18" spans="1:18" x14ac:dyDescent="0.4">
      <c r="A18" s="1">
        <v>130017</v>
      </c>
      <c r="B18" s="6"/>
      <c r="C18" s="6"/>
      <c r="D18" s="6"/>
      <c r="E18" s="6"/>
      <c r="F18" s="6"/>
      <c r="G18" s="12"/>
      <c r="H18" s="12"/>
      <c r="I18" s="5"/>
      <c r="J18" s="6"/>
      <c r="K18" s="1"/>
      <c r="L18" s="6"/>
      <c r="M18" s="4"/>
      <c r="N18" s="2"/>
      <c r="O18" s="18"/>
      <c r="P18" s="17"/>
      <c r="Q18" s="17"/>
      <c r="R18" s="17"/>
    </row>
    <row r="19" spans="1:18" x14ac:dyDescent="0.4">
      <c r="A19" s="1">
        <v>130018</v>
      </c>
      <c r="B19" s="6"/>
      <c r="C19" s="6"/>
      <c r="D19" s="6"/>
      <c r="E19" s="1"/>
      <c r="F19" s="6"/>
      <c r="G19" s="12"/>
      <c r="H19" s="12"/>
      <c r="I19" s="5"/>
      <c r="J19" s="6"/>
      <c r="K19" s="1"/>
      <c r="L19" s="6"/>
      <c r="M19" s="4"/>
      <c r="N19" s="2"/>
      <c r="O19" s="18"/>
      <c r="P19" s="17"/>
      <c r="Q19" s="17"/>
      <c r="R19" s="17"/>
    </row>
    <row r="20" spans="1:18" x14ac:dyDescent="0.4">
      <c r="A20" s="1">
        <v>130019</v>
      </c>
      <c r="B20" s="6"/>
      <c r="C20" s="6"/>
      <c r="D20" s="6"/>
      <c r="E20" s="6"/>
      <c r="F20" s="6"/>
      <c r="G20" s="12"/>
      <c r="H20" s="12"/>
      <c r="I20" s="5"/>
      <c r="J20" s="6"/>
      <c r="K20" s="1"/>
      <c r="L20" s="6"/>
      <c r="M20" s="4"/>
      <c r="N20" s="2"/>
      <c r="O20" s="18"/>
      <c r="P20" s="17"/>
      <c r="Q20" s="17"/>
      <c r="R20" s="17"/>
    </row>
    <row r="21" spans="1:18" x14ac:dyDescent="0.4">
      <c r="A21" s="1">
        <v>130020</v>
      </c>
      <c r="B21" s="6"/>
      <c r="C21" s="6"/>
      <c r="D21" s="6"/>
      <c r="E21" s="6"/>
      <c r="F21" s="6"/>
      <c r="G21" s="12"/>
      <c r="H21" s="12"/>
      <c r="I21" s="5"/>
      <c r="J21" s="6"/>
      <c r="K21" s="1"/>
      <c r="L21" s="6"/>
      <c r="M21" s="4"/>
      <c r="N21" s="2"/>
      <c r="O21" s="18"/>
      <c r="P21" s="17"/>
      <c r="Q21" s="17"/>
      <c r="R21" s="17"/>
    </row>
    <row r="22" spans="1:18" x14ac:dyDescent="0.4">
      <c r="A22" s="1">
        <v>130021</v>
      </c>
      <c r="B22" s="6"/>
      <c r="C22" s="6"/>
      <c r="D22" s="6"/>
      <c r="E22" s="6"/>
      <c r="F22" s="6"/>
      <c r="G22" s="12"/>
      <c r="H22" s="12"/>
      <c r="I22" s="5"/>
      <c r="J22" s="6"/>
      <c r="K22" s="1"/>
      <c r="L22" s="6"/>
      <c r="M22" s="4"/>
      <c r="N22" s="2"/>
      <c r="O22" s="18"/>
      <c r="P22" s="17"/>
      <c r="Q22" s="17"/>
      <c r="R22" s="17"/>
    </row>
    <row r="23" spans="1:18" x14ac:dyDescent="0.4">
      <c r="A23" s="1">
        <v>130022</v>
      </c>
      <c r="B23" s="6"/>
      <c r="C23" s="6"/>
      <c r="D23" s="6"/>
      <c r="E23" s="6"/>
      <c r="F23" s="6"/>
      <c r="G23" s="7"/>
      <c r="H23" s="1"/>
      <c r="I23" s="5"/>
      <c r="J23" s="6"/>
      <c r="K23" s="1"/>
      <c r="L23" s="6"/>
      <c r="M23" s="4"/>
      <c r="N23" s="2"/>
    </row>
    <row r="24" spans="1:18" x14ac:dyDescent="0.4">
      <c r="A24" s="1">
        <v>130023</v>
      </c>
      <c r="B24" s="6"/>
      <c r="C24" s="6"/>
      <c r="D24" s="6"/>
      <c r="E24" s="6"/>
      <c r="F24" s="6"/>
      <c r="G24" s="1"/>
      <c r="H24" s="1"/>
      <c r="I24" s="5"/>
      <c r="J24" s="6"/>
      <c r="K24" s="1"/>
      <c r="L24" s="6"/>
      <c r="M24" s="4"/>
      <c r="N24" s="2"/>
    </row>
    <row r="25" spans="1:18" x14ac:dyDescent="0.4">
      <c r="A25" s="1">
        <v>130024</v>
      </c>
      <c r="B25" s="6"/>
      <c r="C25" s="6"/>
      <c r="D25" s="6"/>
      <c r="E25" s="6"/>
      <c r="F25" s="6"/>
      <c r="G25" s="7"/>
      <c r="H25" s="1"/>
      <c r="I25" s="5"/>
      <c r="J25" s="6"/>
      <c r="K25" s="1"/>
      <c r="L25" s="6"/>
      <c r="M25" s="4"/>
      <c r="N25" s="2"/>
    </row>
    <row r="26" spans="1:18" x14ac:dyDescent="0.4">
      <c r="A26" s="1">
        <v>130025</v>
      </c>
      <c r="B26" s="6"/>
      <c r="C26" s="6"/>
      <c r="D26" s="6"/>
      <c r="E26" s="6"/>
      <c r="F26" s="6"/>
      <c r="G26" s="1"/>
      <c r="H26" s="1"/>
      <c r="I26" s="6"/>
      <c r="J26" s="6"/>
      <c r="K26" s="6"/>
      <c r="L26" s="6"/>
    </row>
    <row r="27" spans="1:18" x14ac:dyDescent="0.4">
      <c r="A27" s="1">
        <v>130026</v>
      </c>
      <c r="B27" s="6"/>
      <c r="C27" s="6"/>
      <c r="D27" s="6"/>
      <c r="E27" s="6"/>
      <c r="F27" s="6"/>
      <c r="G27" s="1"/>
      <c r="H27" s="1"/>
      <c r="I27" s="6"/>
      <c r="J27" s="6"/>
      <c r="K27" s="6"/>
      <c r="L27" s="6"/>
    </row>
  </sheetData>
  <hyperlinks>
    <hyperlink ref="O3" r:id="rId1" display="https://ibb.co.com/qMZNjg2v " xr:uid="{52187821-6BE5-4690-9EC5-C5CCF475DB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Nike</vt:lpstr>
      <vt:lpstr>Mizuno</vt:lpstr>
      <vt:lpstr>Hoka</vt:lpstr>
      <vt:lpstr>The North Face</vt:lpstr>
      <vt:lpstr>Timberland</vt:lpstr>
      <vt:lpstr>Adidas</vt:lpstr>
      <vt:lpstr>Native</vt:lpstr>
      <vt:lpstr>Dickies</vt:lpstr>
      <vt:lpstr>Skechers</vt:lpstr>
      <vt:lpstr>Asics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Саркисян Давид</dc:creator>
  <cp:lastModifiedBy>Adil Muhamet</cp:lastModifiedBy>
  <dcterms:created xsi:type="dcterms:W3CDTF">2014-05-19T12:46:12Z</dcterms:created>
  <dcterms:modified xsi:type="dcterms:W3CDTF">2026-04-03T17:12:12Z</dcterms:modified>
</cp:coreProperties>
</file>