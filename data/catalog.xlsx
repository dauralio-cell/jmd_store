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md_store_render\jmd_store\data\"/>
    </mc:Choice>
  </mc:AlternateContent>
  <xr:revisionPtr revIDLastSave="0" documentId="13_ncr:1_{F42A94BF-C02F-491C-8599-9FDC087961A8}" xr6:coauthVersionLast="47" xr6:coauthVersionMax="47" xr10:uidLastSave="{00000000-0000-0000-0000-000000000000}"/>
  <bookViews>
    <workbookView xWindow="-103" yWindow="-103" windowWidth="22149" windowHeight="11829" xr2:uid="{00000000-000D-0000-FFFF-FFFF00000000}"/>
  </bookViews>
  <sheets>
    <sheet name="Nike" sheetId="3" r:id="rId1"/>
    <sheet name="Mizuno" sheetId="4" r:id="rId2"/>
    <sheet name="Hoka" sheetId="6" r:id="rId3"/>
    <sheet name="The North Face" sheetId="7" r:id="rId4"/>
    <sheet name="Timberland" sheetId="9" r:id="rId5"/>
  </sheets>
  <calcPr calcId="191029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32" i="3" l="1"/>
  <c r="M33" i="3"/>
  <c r="I33" i="3" s="1"/>
  <c r="M34" i="3"/>
  <c r="I34" i="3" s="1"/>
  <c r="M35" i="3"/>
  <c r="I35" i="3" s="1"/>
  <c r="M36" i="3"/>
  <c r="I36" i="3" s="1"/>
  <c r="M37" i="3"/>
  <c r="I37" i="3" s="1"/>
  <c r="M38" i="3"/>
  <c r="I38" i="3" s="1"/>
  <c r="M39" i="3"/>
  <c r="I39" i="3" s="1"/>
  <c r="M40" i="3"/>
  <c r="I40" i="3" s="1"/>
  <c r="M41" i="3"/>
  <c r="I41" i="3" s="1"/>
  <c r="M42" i="3"/>
  <c r="I42" i="3" s="1"/>
  <c r="M43" i="3"/>
  <c r="I43" i="3" s="1"/>
  <c r="M44" i="3"/>
  <c r="I44" i="3" s="1"/>
  <c r="M45" i="3"/>
  <c r="I45" i="3" s="1"/>
  <c r="M46" i="3"/>
  <c r="I46" i="3" s="1"/>
  <c r="I32" i="3"/>
  <c r="M9" i="3"/>
  <c r="I9" i="3" s="1"/>
  <c r="M10" i="3"/>
  <c r="I10" i="3" s="1"/>
  <c r="M11" i="3"/>
  <c r="I11" i="3" s="1"/>
  <c r="M12" i="3"/>
  <c r="M13" i="3"/>
  <c r="M14" i="3"/>
  <c r="M15" i="3"/>
  <c r="M16" i="3"/>
  <c r="M17" i="3"/>
  <c r="I17" i="3" s="1"/>
  <c r="I12" i="3"/>
  <c r="I13" i="3"/>
  <c r="I14" i="3"/>
  <c r="I15" i="3"/>
  <c r="I16" i="3"/>
  <c r="M3" i="3"/>
  <c r="I3" i="3" s="1"/>
  <c r="M4" i="3"/>
  <c r="I4" i="3" s="1"/>
  <c r="M5" i="3"/>
  <c r="I5" i="3" s="1"/>
  <c r="M6" i="3"/>
  <c r="I6" i="3" s="1"/>
  <c r="M7" i="3"/>
  <c r="I7" i="3" s="1"/>
  <c r="M8" i="3"/>
  <c r="I8" i="3" s="1"/>
  <c r="M18" i="3"/>
  <c r="I18" i="3" s="1"/>
  <c r="M19" i="3"/>
  <c r="I19" i="3" s="1"/>
  <c r="M20" i="3"/>
  <c r="I20" i="3" s="1"/>
  <c r="M21" i="3"/>
  <c r="I21" i="3" s="1"/>
  <c r="M22" i="3"/>
  <c r="I22" i="3" s="1"/>
  <c r="M23" i="3"/>
  <c r="I23" i="3" s="1"/>
  <c r="M24" i="3"/>
  <c r="I24" i="3" s="1"/>
  <c r="M25" i="3"/>
  <c r="I25" i="3" s="1"/>
  <c r="M26" i="3"/>
  <c r="I26" i="3" s="1"/>
  <c r="M27" i="3"/>
  <c r="I27" i="3" s="1"/>
  <c r="M28" i="3"/>
  <c r="I28" i="3" s="1"/>
  <c r="M29" i="3"/>
  <c r="I29" i="3" s="1"/>
  <c r="M30" i="3"/>
  <c r="I30" i="3" s="1"/>
  <c r="M31" i="3"/>
  <c r="I31" i="3" s="1"/>
  <c r="M2" i="3"/>
  <c r="I2" i="3" s="1"/>
  <c r="M10" i="9"/>
  <c r="I10" i="9" s="1"/>
  <c r="M9" i="9"/>
  <c r="I9" i="9" s="1"/>
  <c r="M8" i="9"/>
  <c r="I8" i="9"/>
  <c r="M7" i="9"/>
  <c r="I7" i="9" s="1"/>
  <c r="M6" i="9"/>
  <c r="I6" i="9" s="1"/>
  <c r="M5" i="9"/>
  <c r="I5" i="9" s="1"/>
  <c r="M4" i="9"/>
  <c r="I4" i="9"/>
  <c r="M3" i="9"/>
  <c r="I3" i="9"/>
  <c r="M2" i="9"/>
  <c r="I2" i="9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M10" i="7"/>
  <c r="I10" i="7"/>
  <c r="M9" i="7"/>
  <c r="I9" i="7"/>
  <c r="M8" i="7"/>
  <c r="I8" i="7" s="1"/>
  <c r="M7" i="7"/>
  <c r="I7" i="7"/>
  <c r="M6" i="7"/>
  <c r="I6" i="7"/>
  <c r="M5" i="7"/>
  <c r="I5" i="7" s="1"/>
  <c r="M4" i="7"/>
  <c r="I4" i="7" s="1"/>
  <c r="M3" i="7"/>
  <c r="I3" i="7" s="1"/>
  <c r="M2" i="7"/>
  <c r="I2" i="7"/>
  <c r="M16" i="6"/>
  <c r="M17" i="6"/>
  <c r="I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2" i="6"/>
</calcChain>
</file>

<file path=xl/sharedStrings.xml><?xml version="1.0" encoding="utf-8"?>
<sst xmlns="http://schemas.openxmlformats.org/spreadsheetml/2006/main" count="216" uniqueCount="46">
  <si>
    <t>model</t>
  </si>
  <si>
    <t>price</t>
  </si>
  <si>
    <t>brand</t>
  </si>
  <si>
    <t>preorder</t>
  </si>
  <si>
    <t>Nike</t>
  </si>
  <si>
    <t>Mizuno</t>
  </si>
  <si>
    <t>men</t>
  </si>
  <si>
    <t>white</t>
  </si>
  <si>
    <t>gender</t>
  </si>
  <si>
    <t>color</t>
  </si>
  <si>
    <t>sku</t>
  </si>
  <si>
    <t xml:space="preserve"> Air Force 1 Low 07 (CW2288-111)</t>
  </si>
  <si>
    <t>image</t>
  </si>
  <si>
    <t>grey</t>
  </si>
  <si>
    <t>white green</t>
  </si>
  <si>
    <t>white grey</t>
  </si>
  <si>
    <t>Crosswild II (D1GH241003)</t>
  </si>
  <si>
    <t>LG 60S (D1GH242103)</t>
  </si>
  <si>
    <t>Racer S (D1GH223524)</t>
  </si>
  <si>
    <t>size US</t>
  </si>
  <si>
    <t>size EU</t>
  </si>
  <si>
    <t>100001_1 100001_2 100001_3</t>
  </si>
  <si>
    <t>500001_1 500001_2 500001_3</t>
  </si>
  <si>
    <t>500100_1 500100_2 500100_3</t>
  </si>
  <si>
    <t>500201_1 500201_2 500201_3</t>
  </si>
  <si>
    <t>yes</t>
  </si>
  <si>
    <t>500008_1 500008_2 500008_3</t>
  </si>
  <si>
    <t>description</t>
  </si>
  <si>
    <t>in stock</t>
  </si>
  <si>
    <t>Hoka</t>
  </si>
  <si>
    <t>brown</t>
  </si>
  <si>
    <t>600001_1 600001_2 600001_3 600001_4 600001_5 600001_6 600001_7</t>
  </si>
  <si>
    <t>no</t>
  </si>
  <si>
    <t>HOKA ONE ONE Kaha 3 (1162532-RWL)</t>
  </si>
  <si>
    <t>HOKA ONE ONE Kaha 2 Frost GTX (1155194-HYW)</t>
  </si>
  <si>
    <t>600009_1 600009_2 600009_3 600009_4 600009_5</t>
  </si>
  <si>
    <t>THE NORTH FACE</t>
  </si>
  <si>
    <t>700001_1 700001_2 700001_3 700001_4</t>
  </si>
  <si>
    <t>unisex</t>
  </si>
  <si>
    <t>GLENCLYFFE</t>
  </si>
  <si>
    <t>Timberland</t>
  </si>
  <si>
    <t>Greenstride Motion 6</t>
  </si>
  <si>
    <t>800001_1 800001_2 800001_3 800001_4 800001_5</t>
  </si>
  <si>
    <t>black</t>
  </si>
  <si>
    <t>100016_1 100016_2 100016_3 100016_4 100016_5 100016_6</t>
  </si>
  <si>
    <t>Cygnal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</si>
</sst>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_ ;[Red]\-0.0\ "/>
  </numFmts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2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E1A44-280D-4411-9C01-14D3EB718FB5}">
  <dimension ref="A1:N46"/>
  <sheetViews>
    <sheetView tabSelected="1" topLeftCell="A31" workbookViewId="0">
      <selection activeCell="G49" sqref="G49"/>
    </sheetView>
  </sheetViews>
  <sheetFormatPr defaultRowHeight="14.6" x14ac:dyDescent="0.4"/>
  <cols>
    <col min="1" max="2" width="9.23046875" style="2"/>
    <col min="3" max="3" width="31.84375" style="2" bestFit="1" customWidth="1"/>
    <col min="4" max="5" width="9.23046875" style="2"/>
    <col min="6" max="6" width="51.921875" style="2" bestFit="1" customWidth="1"/>
    <col min="7" max="8" width="11.69140625" style="2" customWidth="1"/>
    <col min="9" max="11" width="9.23046875" style="2"/>
    <col min="12" max="12" width="10.07421875" style="2" bestFit="1" customWidth="1"/>
    <col min="13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100001</v>
      </c>
      <c r="B2" s="1" t="s">
        <v>4</v>
      </c>
      <c r="C2" s="1" t="s">
        <v>11</v>
      </c>
      <c r="D2" s="1" t="s">
        <v>38</v>
      </c>
      <c r="E2" s="1" t="s">
        <v>7</v>
      </c>
      <c r="F2" s="1" t="s">
        <v>21</v>
      </c>
      <c r="G2" s="1">
        <v>3.5</v>
      </c>
      <c r="H2" s="1">
        <v>35.5</v>
      </c>
      <c r="I2" s="6">
        <f>M2</f>
        <v>63746.578947368427</v>
      </c>
      <c r="J2" s="1"/>
      <c r="K2" s="1" t="s">
        <v>25</v>
      </c>
      <c r="L2" s="1"/>
      <c r="M2" s="5">
        <f>(N2*75+N2*75*0.01+12500+4200)/0.95</f>
        <v>63746.578947368427</v>
      </c>
      <c r="N2" s="2">
        <v>579</v>
      </c>
    </row>
    <row r="3" spans="1:14" x14ac:dyDescent="0.4">
      <c r="A3" s="1">
        <v>100002</v>
      </c>
      <c r="B3" s="1"/>
      <c r="C3" s="1"/>
      <c r="D3" s="1"/>
      <c r="E3" s="1"/>
      <c r="F3" s="1"/>
      <c r="G3" s="1">
        <v>4</v>
      </c>
      <c r="H3" s="1">
        <v>36</v>
      </c>
      <c r="I3" s="6">
        <f t="shared" ref="I3:I46" si="0">M3</f>
        <v>63746.578947368427</v>
      </c>
      <c r="J3" s="1"/>
      <c r="K3" s="1" t="s">
        <v>25</v>
      </c>
      <c r="L3" s="1"/>
      <c r="M3" s="5">
        <f t="shared" ref="M3:M46" si="1">(N3*75+N3*75*0.01+12500+4200)/0.95</f>
        <v>63746.578947368427</v>
      </c>
      <c r="N3" s="2">
        <v>579</v>
      </c>
    </row>
    <row r="4" spans="1:14" x14ac:dyDescent="0.4">
      <c r="A4" s="1">
        <v>100003</v>
      </c>
      <c r="B4" s="1"/>
      <c r="C4" s="1"/>
      <c r="D4" s="1"/>
      <c r="E4" s="1"/>
      <c r="F4" s="1"/>
      <c r="G4" s="1">
        <v>4.5</v>
      </c>
      <c r="H4" s="1">
        <v>36.5</v>
      </c>
      <c r="I4" s="6">
        <f t="shared" si="0"/>
        <v>63746.578947368427</v>
      </c>
      <c r="J4" s="1"/>
      <c r="K4" s="1" t="s">
        <v>25</v>
      </c>
      <c r="L4" s="1"/>
      <c r="M4" s="5">
        <f t="shared" si="1"/>
        <v>63746.578947368427</v>
      </c>
      <c r="N4" s="2">
        <v>579</v>
      </c>
    </row>
    <row r="5" spans="1:14" x14ac:dyDescent="0.4">
      <c r="A5" s="1">
        <v>100004</v>
      </c>
      <c r="B5" s="1"/>
      <c r="C5" s="1"/>
      <c r="D5" s="1"/>
      <c r="E5" s="1"/>
      <c r="F5" s="1"/>
      <c r="G5" s="1">
        <v>5</v>
      </c>
      <c r="H5" s="1">
        <v>37.5</v>
      </c>
      <c r="I5" s="6">
        <f t="shared" si="0"/>
        <v>63746.578947368427</v>
      </c>
      <c r="J5" s="1"/>
      <c r="K5" s="1" t="s">
        <v>25</v>
      </c>
      <c r="L5" s="1"/>
      <c r="M5" s="5">
        <f t="shared" si="1"/>
        <v>63746.578947368427</v>
      </c>
      <c r="N5" s="2">
        <v>579</v>
      </c>
    </row>
    <row r="6" spans="1:14" x14ac:dyDescent="0.4">
      <c r="A6" s="1">
        <v>100005</v>
      </c>
      <c r="B6" s="1"/>
      <c r="C6" s="1"/>
      <c r="D6" s="1"/>
      <c r="E6" s="1"/>
      <c r="F6" s="1"/>
      <c r="G6" s="1">
        <v>5.5</v>
      </c>
      <c r="H6" s="1">
        <v>38</v>
      </c>
      <c r="I6" s="6">
        <f t="shared" si="0"/>
        <v>63746.578947368427</v>
      </c>
      <c r="J6" s="1"/>
      <c r="K6" s="1" t="s">
        <v>25</v>
      </c>
      <c r="L6" s="1"/>
      <c r="M6" s="5">
        <f t="shared" si="1"/>
        <v>63746.578947368427</v>
      </c>
      <c r="N6" s="2">
        <v>579</v>
      </c>
    </row>
    <row r="7" spans="1:14" x14ac:dyDescent="0.4">
      <c r="A7" s="1">
        <v>100006</v>
      </c>
      <c r="B7" s="1"/>
      <c r="C7" s="1"/>
      <c r="D7" s="1"/>
      <c r="E7" s="1"/>
      <c r="F7" s="1"/>
      <c r="G7" s="1">
        <v>6</v>
      </c>
      <c r="H7" s="1">
        <v>38.5</v>
      </c>
      <c r="I7" s="6">
        <f t="shared" si="0"/>
        <v>63746.578947368427</v>
      </c>
      <c r="J7" s="1"/>
      <c r="K7" s="1" t="s">
        <v>25</v>
      </c>
      <c r="L7" s="1"/>
      <c r="M7" s="5">
        <f t="shared" si="1"/>
        <v>63746.578947368427</v>
      </c>
      <c r="N7" s="2">
        <v>579</v>
      </c>
    </row>
    <row r="8" spans="1:14" x14ac:dyDescent="0.4">
      <c r="A8" s="1">
        <v>100007</v>
      </c>
      <c r="B8" s="1"/>
      <c r="C8" s="1"/>
      <c r="D8" s="1"/>
      <c r="E8" s="1"/>
      <c r="F8" s="1"/>
      <c r="G8" s="1">
        <v>6.5</v>
      </c>
      <c r="H8" s="1">
        <v>39</v>
      </c>
      <c r="I8" s="6">
        <f t="shared" si="0"/>
        <v>63746.578947368427</v>
      </c>
      <c r="J8" s="1"/>
      <c r="K8" s="1" t="s">
        <v>25</v>
      </c>
      <c r="L8" s="1"/>
      <c r="M8" s="5">
        <f t="shared" si="1"/>
        <v>63746.578947368427</v>
      </c>
      <c r="N8" s="2">
        <v>579</v>
      </c>
    </row>
    <row r="9" spans="1:14" x14ac:dyDescent="0.4">
      <c r="A9" s="1">
        <v>100008</v>
      </c>
      <c r="B9" s="1"/>
      <c r="C9" s="1"/>
      <c r="D9" s="1"/>
      <c r="E9" s="1"/>
      <c r="F9" s="1"/>
      <c r="G9" s="1">
        <v>7</v>
      </c>
      <c r="H9" s="1">
        <v>40</v>
      </c>
      <c r="I9" s="6">
        <f t="shared" si="0"/>
        <v>63746.578947368427</v>
      </c>
      <c r="J9" s="1"/>
      <c r="K9" s="1" t="s">
        <v>25</v>
      </c>
      <c r="L9" s="1"/>
      <c r="M9" s="5">
        <f t="shared" si="1"/>
        <v>63746.578947368427</v>
      </c>
      <c r="N9" s="2">
        <v>579</v>
      </c>
    </row>
    <row r="10" spans="1:14" x14ac:dyDescent="0.4">
      <c r="A10" s="1">
        <v>100009</v>
      </c>
      <c r="B10" s="1"/>
      <c r="C10" s="1"/>
      <c r="D10" s="1"/>
      <c r="E10" s="1"/>
      <c r="F10" s="1"/>
      <c r="G10" s="1">
        <v>7.5</v>
      </c>
      <c r="H10" s="1">
        <v>40.5</v>
      </c>
      <c r="I10" s="6">
        <f t="shared" si="0"/>
        <v>63746.578947368427</v>
      </c>
      <c r="J10" s="1"/>
      <c r="K10" s="1" t="s">
        <v>25</v>
      </c>
      <c r="L10" s="1"/>
      <c r="M10" s="5">
        <f t="shared" si="1"/>
        <v>63746.578947368427</v>
      </c>
      <c r="N10" s="2">
        <v>579</v>
      </c>
    </row>
    <row r="11" spans="1:14" x14ac:dyDescent="0.4">
      <c r="A11" s="1">
        <v>100010</v>
      </c>
      <c r="B11" s="1"/>
      <c r="C11" s="1"/>
      <c r="D11" s="1"/>
      <c r="E11" s="1"/>
      <c r="F11" s="1"/>
      <c r="G11" s="1">
        <v>8</v>
      </c>
      <c r="H11" s="1">
        <v>41</v>
      </c>
      <c r="I11" s="6">
        <f t="shared" si="0"/>
        <v>63746.578947368427</v>
      </c>
      <c r="J11" s="1"/>
      <c r="K11" s="1" t="s">
        <v>25</v>
      </c>
      <c r="L11" s="1"/>
      <c r="M11" s="5">
        <f t="shared" si="1"/>
        <v>63746.578947368427</v>
      </c>
      <c r="N11" s="2">
        <v>579</v>
      </c>
    </row>
    <row r="12" spans="1:14" x14ac:dyDescent="0.4">
      <c r="A12" s="1">
        <v>100011</v>
      </c>
      <c r="B12" s="1"/>
      <c r="C12" s="1"/>
      <c r="D12" s="1"/>
      <c r="E12" s="1"/>
      <c r="F12" s="1"/>
      <c r="G12" s="1">
        <v>8.5</v>
      </c>
      <c r="H12" s="1">
        <v>42</v>
      </c>
      <c r="I12" s="6">
        <f t="shared" si="0"/>
        <v>63746.578947368427</v>
      </c>
      <c r="J12" s="1"/>
      <c r="K12" s="1" t="s">
        <v>25</v>
      </c>
      <c r="L12" s="1"/>
      <c r="M12" s="5">
        <f t="shared" si="1"/>
        <v>63746.578947368427</v>
      </c>
      <c r="N12" s="2">
        <v>579</v>
      </c>
    </row>
    <row r="13" spans="1:14" x14ac:dyDescent="0.4">
      <c r="A13" s="1">
        <v>100012</v>
      </c>
      <c r="B13" s="1"/>
      <c r="C13" s="1"/>
      <c r="D13" s="1"/>
      <c r="E13" s="1"/>
      <c r="F13" s="1"/>
      <c r="G13" s="1">
        <v>9</v>
      </c>
      <c r="H13" s="1">
        <v>42.5</v>
      </c>
      <c r="I13" s="6">
        <f t="shared" si="0"/>
        <v>63746.578947368427</v>
      </c>
      <c r="J13" s="1"/>
      <c r="K13" s="1" t="s">
        <v>25</v>
      </c>
      <c r="L13" s="1"/>
      <c r="M13" s="5">
        <f t="shared" si="1"/>
        <v>63746.578947368427</v>
      </c>
      <c r="N13" s="2">
        <v>579</v>
      </c>
    </row>
    <row r="14" spans="1:14" x14ac:dyDescent="0.4">
      <c r="A14" s="1">
        <v>100013</v>
      </c>
      <c r="B14" s="1"/>
      <c r="C14" s="1"/>
      <c r="D14" s="1"/>
      <c r="E14" s="1"/>
      <c r="F14" s="1"/>
      <c r="G14" s="1">
        <v>9.5</v>
      </c>
      <c r="H14" s="1">
        <v>43</v>
      </c>
      <c r="I14" s="6">
        <f t="shared" si="0"/>
        <v>63746.578947368427</v>
      </c>
      <c r="J14" s="1"/>
      <c r="K14" s="1" t="s">
        <v>25</v>
      </c>
      <c r="L14" s="1"/>
      <c r="M14" s="5">
        <f t="shared" si="1"/>
        <v>63746.578947368427</v>
      </c>
      <c r="N14" s="2">
        <v>579</v>
      </c>
    </row>
    <row r="15" spans="1:14" x14ac:dyDescent="0.4">
      <c r="A15" s="1">
        <v>100014</v>
      </c>
      <c r="B15" s="1"/>
      <c r="C15" s="1"/>
      <c r="D15" s="1"/>
      <c r="E15" s="1"/>
      <c r="F15" s="1"/>
      <c r="G15" s="1">
        <v>10</v>
      </c>
      <c r="H15" s="1">
        <v>44</v>
      </c>
      <c r="I15" s="6">
        <f t="shared" si="0"/>
        <v>63746.578947368427</v>
      </c>
      <c r="J15" s="1"/>
      <c r="K15" s="1" t="s">
        <v>25</v>
      </c>
      <c r="L15" s="1"/>
      <c r="M15" s="5">
        <f t="shared" si="1"/>
        <v>63746.578947368427</v>
      </c>
      <c r="N15" s="2">
        <v>579</v>
      </c>
    </row>
    <row r="16" spans="1:14" x14ac:dyDescent="0.4">
      <c r="A16" s="1">
        <v>100015</v>
      </c>
      <c r="B16" s="1"/>
      <c r="C16" s="1"/>
      <c r="D16" s="1"/>
      <c r="E16" s="1"/>
      <c r="F16" s="1"/>
      <c r="G16" s="1">
        <v>10.5</v>
      </c>
      <c r="H16" s="1">
        <v>44.5</v>
      </c>
      <c r="I16" s="6">
        <f t="shared" si="0"/>
        <v>63746.578947368427</v>
      </c>
      <c r="J16" s="1"/>
      <c r="K16" s="1" t="s">
        <v>25</v>
      </c>
      <c r="L16" s="1"/>
      <c r="M16" s="5">
        <f t="shared" si="1"/>
        <v>63746.578947368427</v>
      </c>
      <c r="N16" s="2">
        <v>579</v>
      </c>
    </row>
    <row r="17" spans="1:14" x14ac:dyDescent="0.4">
      <c r="A17" s="1">
        <v>100016</v>
      </c>
      <c r="B17" s="1"/>
      <c r="C17" s="1"/>
      <c r="D17" s="1"/>
      <c r="E17" s="1" t="s">
        <v>43</v>
      </c>
      <c r="F17" s="1" t="s">
        <v>44</v>
      </c>
      <c r="G17" s="1">
        <v>3.5</v>
      </c>
      <c r="H17" s="1">
        <v>35.5</v>
      </c>
      <c r="I17" s="6">
        <f t="shared" si="0"/>
        <v>63746.578947368427</v>
      </c>
      <c r="J17" s="1"/>
      <c r="K17" s="1" t="s">
        <v>25</v>
      </c>
      <c r="L17" s="1"/>
      <c r="M17" s="5">
        <f t="shared" si="1"/>
        <v>63746.578947368427</v>
      </c>
      <c r="N17" s="2">
        <v>579</v>
      </c>
    </row>
    <row r="18" spans="1:14" x14ac:dyDescent="0.4">
      <c r="A18" s="1">
        <v>100017</v>
      </c>
      <c r="B18" s="1"/>
      <c r="C18" s="1"/>
      <c r="D18" s="1"/>
      <c r="E18" s="1"/>
      <c r="F18" s="1"/>
      <c r="G18" s="1">
        <v>4</v>
      </c>
      <c r="H18" s="1">
        <v>36</v>
      </c>
      <c r="I18" s="6">
        <f t="shared" si="0"/>
        <v>63746.578947368427</v>
      </c>
      <c r="J18" s="1"/>
      <c r="K18" s="1" t="s">
        <v>25</v>
      </c>
      <c r="L18" s="1"/>
      <c r="M18" s="5">
        <f t="shared" si="1"/>
        <v>63746.578947368427</v>
      </c>
      <c r="N18" s="2">
        <v>579</v>
      </c>
    </row>
    <row r="19" spans="1:14" x14ac:dyDescent="0.4">
      <c r="A19" s="1">
        <v>100018</v>
      </c>
      <c r="B19" s="1"/>
      <c r="C19" s="1"/>
      <c r="D19" s="1"/>
      <c r="E19" s="1"/>
      <c r="F19" s="1"/>
      <c r="G19" s="1">
        <v>4.5</v>
      </c>
      <c r="H19" s="1">
        <v>36.5</v>
      </c>
      <c r="I19" s="6">
        <f t="shared" si="0"/>
        <v>63746.578947368427</v>
      </c>
      <c r="J19" s="1"/>
      <c r="K19" s="1" t="s">
        <v>25</v>
      </c>
      <c r="L19" s="1"/>
      <c r="M19" s="5">
        <f t="shared" si="1"/>
        <v>63746.578947368427</v>
      </c>
      <c r="N19" s="2">
        <v>579</v>
      </c>
    </row>
    <row r="20" spans="1:14" x14ac:dyDescent="0.4">
      <c r="A20" s="1">
        <v>100019</v>
      </c>
      <c r="B20" s="1"/>
      <c r="C20" s="1"/>
      <c r="D20" s="1"/>
      <c r="E20" s="1"/>
      <c r="F20" s="1"/>
      <c r="G20" s="1">
        <v>5</v>
      </c>
      <c r="H20" s="1">
        <v>37.5</v>
      </c>
      <c r="I20" s="6">
        <f t="shared" si="0"/>
        <v>63746.578947368427</v>
      </c>
      <c r="J20" s="1"/>
      <c r="K20" s="1" t="s">
        <v>25</v>
      </c>
      <c r="L20" s="1"/>
      <c r="M20" s="5">
        <f t="shared" si="1"/>
        <v>63746.578947368427</v>
      </c>
      <c r="N20" s="2">
        <v>579</v>
      </c>
    </row>
    <row r="21" spans="1:14" x14ac:dyDescent="0.4">
      <c r="A21" s="1">
        <v>100020</v>
      </c>
      <c r="B21" s="1"/>
      <c r="C21" s="1"/>
      <c r="D21" s="1"/>
      <c r="E21" s="1"/>
      <c r="F21" s="1"/>
      <c r="G21" s="1">
        <v>5.5</v>
      </c>
      <c r="H21" s="1">
        <v>38</v>
      </c>
      <c r="I21" s="6">
        <f t="shared" si="0"/>
        <v>63746.578947368427</v>
      </c>
      <c r="J21" s="1"/>
      <c r="K21" s="1" t="s">
        <v>25</v>
      </c>
      <c r="L21" s="1"/>
      <c r="M21" s="5">
        <f t="shared" si="1"/>
        <v>63746.578947368427</v>
      </c>
      <c r="N21" s="2">
        <v>579</v>
      </c>
    </row>
    <row r="22" spans="1:14" x14ac:dyDescent="0.4">
      <c r="A22" s="1">
        <v>100021</v>
      </c>
      <c r="B22" s="1"/>
      <c r="C22" s="1"/>
      <c r="D22" s="1"/>
      <c r="E22" s="1"/>
      <c r="F22" s="1"/>
      <c r="G22" s="1">
        <v>6</v>
      </c>
      <c r="H22" s="1">
        <v>38.5</v>
      </c>
      <c r="I22" s="6">
        <f t="shared" si="0"/>
        <v>63746.578947368427</v>
      </c>
      <c r="J22" s="1"/>
      <c r="K22" s="1" t="s">
        <v>25</v>
      </c>
      <c r="L22" s="1"/>
      <c r="M22" s="5">
        <f t="shared" si="1"/>
        <v>63746.578947368427</v>
      </c>
      <c r="N22" s="2">
        <v>579</v>
      </c>
    </row>
    <row r="23" spans="1:14" x14ac:dyDescent="0.4">
      <c r="A23" s="1">
        <v>100022</v>
      </c>
      <c r="B23" s="1"/>
      <c r="C23" s="1"/>
      <c r="D23" s="1"/>
      <c r="E23" s="1"/>
      <c r="F23" s="1"/>
      <c r="G23" s="1">
        <v>6.5</v>
      </c>
      <c r="H23" s="1">
        <v>39</v>
      </c>
      <c r="I23" s="6">
        <f t="shared" si="0"/>
        <v>63746.578947368427</v>
      </c>
      <c r="J23" s="1"/>
      <c r="K23" s="1" t="s">
        <v>25</v>
      </c>
      <c r="L23" s="1"/>
      <c r="M23" s="5">
        <f t="shared" si="1"/>
        <v>63746.578947368427</v>
      </c>
      <c r="N23" s="2">
        <v>579</v>
      </c>
    </row>
    <row r="24" spans="1:14" x14ac:dyDescent="0.4">
      <c r="A24" s="1">
        <v>100023</v>
      </c>
      <c r="B24" s="1"/>
      <c r="C24" s="1"/>
      <c r="D24" s="1"/>
      <c r="E24" s="1"/>
      <c r="F24" s="1"/>
      <c r="G24" s="1">
        <v>7</v>
      </c>
      <c r="H24" s="1">
        <v>40</v>
      </c>
      <c r="I24" s="6">
        <f t="shared" si="0"/>
        <v>63746.578947368427</v>
      </c>
      <c r="J24" s="1"/>
      <c r="K24" s="1" t="s">
        <v>25</v>
      </c>
      <c r="L24" s="1"/>
      <c r="M24" s="5">
        <f t="shared" si="1"/>
        <v>63746.578947368427</v>
      </c>
      <c r="N24" s="2">
        <v>579</v>
      </c>
    </row>
    <row r="25" spans="1:14" x14ac:dyDescent="0.4">
      <c r="A25" s="1">
        <v>100024</v>
      </c>
      <c r="B25" s="1"/>
      <c r="C25" s="1"/>
      <c r="D25" s="1"/>
      <c r="E25" s="1"/>
      <c r="F25" s="1"/>
      <c r="G25" s="1">
        <v>7.5</v>
      </c>
      <c r="H25" s="1">
        <v>40.5</v>
      </c>
      <c r="I25" s="6">
        <f t="shared" si="0"/>
        <v>63746.578947368427</v>
      </c>
      <c r="J25" s="1"/>
      <c r="K25" s="1" t="s">
        <v>25</v>
      </c>
      <c r="L25" s="1"/>
      <c r="M25" s="5">
        <f t="shared" si="1"/>
        <v>63746.578947368427</v>
      </c>
      <c r="N25" s="2">
        <v>579</v>
      </c>
    </row>
    <row r="26" spans="1:14" x14ac:dyDescent="0.4">
      <c r="A26" s="1">
        <v>100025</v>
      </c>
      <c r="B26" s="1"/>
      <c r="C26" s="1"/>
      <c r="D26" s="1"/>
      <c r="E26" s="1"/>
      <c r="F26" s="1"/>
      <c r="G26" s="1">
        <v>8</v>
      </c>
      <c r="H26" s="1">
        <v>41</v>
      </c>
      <c r="I26" s="6">
        <f t="shared" si="0"/>
        <v>63746.578947368427</v>
      </c>
      <c r="J26" s="1"/>
      <c r="K26" s="1" t="s">
        <v>25</v>
      </c>
      <c r="L26" s="1"/>
      <c r="M26" s="5">
        <f t="shared" si="1"/>
        <v>63746.578947368427</v>
      </c>
      <c r="N26" s="2">
        <v>579</v>
      </c>
    </row>
    <row r="27" spans="1:14" x14ac:dyDescent="0.4">
      <c r="A27" s="1">
        <v>100026</v>
      </c>
      <c r="B27" s="1"/>
      <c r="C27" s="1"/>
      <c r="D27" s="1"/>
      <c r="E27" s="1"/>
      <c r="F27" s="1"/>
      <c r="G27" s="1">
        <v>8.5</v>
      </c>
      <c r="H27" s="1">
        <v>42</v>
      </c>
      <c r="I27" s="6">
        <f t="shared" si="0"/>
        <v>63746.578947368427</v>
      </c>
      <c r="J27" s="1"/>
      <c r="K27" s="1" t="s">
        <v>25</v>
      </c>
      <c r="L27" s="1"/>
      <c r="M27" s="5">
        <f t="shared" si="1"/>
        <v>63746.578947368427</v>
      </c>
      <c r="N27" s="2">
        <v>579</v>
      </c>
    </row>
    <row r="28" spans="1:14" x14ac:dyDescent="0.4">
      <c r="A28" s="1">
        <v>100027</v>
      </c>
      <c r="B28" s="1"/>
      <c r="C28" s="1"/>
      <c r="D28" s="1"/>
      <c r="E28" s="1"/>
      <c r="F28" s="1"/>
      <c r="G28" s="1">
        <v>9</v>
      </c>
      <c r="H28" s="1">
        <v>42.5</v>
      </c>
      <c r="I28" s="6">
        <f t="shared" si="0"/>
        <v>63746.578947368427</v>
      </c>
      <c r="J28" s="1"/>
      <c r="K28" s="1" t="s">
        <v>25</v>
      </c>
      <c r="L28" s="1"/>
      <c r="M28" s="5">
        <f t="shared" si="1"/>
        <v>63746.578947368427</v>
      </c>
      <c r="N28" s="2">
        <v>579</v>
      </c>
    </row>
    <row r="29" spans="1:14" x14ac:dyDescent="0.4">
      <c r="A29" s="1">
        <v>100028</v>
      </c>
      <c r="B29" s="1"/>
      <c r="C29" s="1"/>
      <c r="D29" s="1"/>
      <c r="E29" s="1"/>
      <c r="F29" s="1"/>
      <c r="G29" s="1">
        <v>9.5</v>
      </c>
      <c r="H29" s="1">
        <v>43</v>
      </c>
      <c r="I29" s="6">
        <f t="shared" si="0"/>
        <v>63746.578947368427</v>
      </c>
      <c r="J29" s="1"/>
      <c r="K29" s="1" t="s">
        <v>25</v>
      </c>
      <c r="L29" s="1"/>
      <c r="M29" s="5">
        <f t="shared" si="1"/>
        <v>63746.578947368427</v>
      </c>
      <c r="N29" s="2">
        <v>579</v>
      </c>
    </row>
    <row r="30" spans="1:14" x14ac:dyDescent="0.4">
      <c r="A30" s="1">
        <v>100029</v>
      </c>
      <c r="B30" s="1"/>
      <c r="C30" s="1"/>
      <c r="D30" s="1"/>
      <c r="E30" s="1"/>
      <c r="F30" s="1"/>
      <c r="G30" s="1">
        <v>10</v>
      </c>
      <c r="H30" s="1">
        <v>44</v>
      </c>
      <c r="I30" s="6">
        <f t="shared" si="0"/>
        <v>63746.578947368427</v>
      </c>
      <c r="J30" s="1"/>
      <c r="K30" s="1" t="s">
        <v>25</v>
      </c>
      <c r="L30" s="1"/>
      <c r="M30" s="5">
        <f t="shared" si="1"/>
        <v>63746.578947368427</v>
      </c>
      <c r="N30" s="2">
        <v>579</v>
      </c>
    </row>
    <row r="31" spans="1:14" x14ac:dyDescent="0.4">
      <c r="A31" s="1">
        <v>100030</v>
      </c>
      <c r="B31" s="1"/>
      <c r="C31" s="1"/>
      <c r="D31" s="1"/>
      <c r="E31" s="1"/>
      <c r="F31" s="1"/>
      <c r="G31" s="1">
        <v>10.5</v>
      </c>
      <c r="H31" s="1">
        <v>44.5</v>
      </c>
      <c r="I31" s="6">
        <f t="shared" si="0"/>
        <v>63746.578947368427</v>
      </c>
      <c r="J31" s="1"/>
      <c r="K31" s="1" t="s">
        <v>25</v>
      </c>
      <c r="L31" s="1"/>
      <c r="M31" s="5">
        <f t="shared" si="1"/>
        <v>63746.578947368427</v>
      </c>
      <c r="N31" s="2">
        <v>579</v>
      </c>
    </row>
    <row r="32" spans="1:14" x14ac:dyDescent="0.4">
      <c r="A32" s="1">
        <v>100031</v>
      </c>
      <c r="B32" s="1"/>
      <c r="C32" s="1" t="s">
        <v>45</v>
      </c>
      <c r="D32" s="1" t="s">
        <v>38</v>
      </c>
      <c r="E32" s="1" t="s">
        <v>30</v>
      </c>
      <c r="F32" s="1"/>
      <c r="G32" s="1">
        <v>3.5</v>
      </c>
      <c r="H32" s="1">
        <v>35.5</v>
      </c>
      <c r="I32" s="6">
        <f t="shared" si="0"/>
        <v>17578.947368421053</v>
      </c>
      <c r="J32" s="1"/>
      <c r="K32" s="1" t="s">
        <v>32</v>
      </c>
      <c r="L32" s="1"/>
      <c r="M32" s="5">
        <f t="shared" si="1"/>
        <v>17578.947368421053</v>
      </c>
    </row>
    <row r="33" spans="1:14" x14ac:dyDescent="0.4">
      <c r="A33" s="1">
        <v>100032</v>
      </c>
      <c r="B33" s="1"/>
      <c r="C33" s="1"/>
      <c r="D33" s="1"/>
      <c r="E33" s="1"/>
      <c r="F33" s="1"/>
      <c r="G33" s="1">
        <v>4</v>
      </c>
      <c r="H33" s="1">
        <v>36</v>
      </c>
      <c r="I33" s="6">
        <f t="shared" si="0"/>
        <v>73315</v>
      </c>
      <c r="J33" s="1"/>
      <c r="K33" s="1" t="s">
        <v>25</v>
      </c>
      <c r="L33" s="1"/>
      <c r="M33" s="5">
        <f t="shared" si="1"/>
        <v>73315</v>
      </c>
      <c r="N33" s="2">
        <v>699</v>
      </c>
    </row>
    <row r="34" spans="1:14" x14ac:dyDescent="0.4">
      <c r="A34" s="1">
        <v>100033</v>
      </c>
      <c r="B34" s="1"/>
      <c r="C34" s="1"/>
      <c r="D34" s="1"/>
      <c r="E34" s="1"/>
      <c r="F34" s="1"/>
      <c r="G34" s="1">
        <v>4.5</v>
      </c>
      <c r="H34" s="1">
        <v>36.5</v>
      </c>
      <c r="I34" s="6">
        <f t="shared" si="0"/>
        <v>65341.315789473687</v>
      </c>
      <c r="J34" s="1"/>
      <c r="K34" s="1" t="s">
        <v>25</v>
      </c>
      <c r="L34" s="1"/>
      <c r="M34" s="5">
        <f t="shared" si="1"/>
        <v>65341.315789473687</v>
      </c>
      <c r="N34" s="2">
        <v>599</v>
      </c>
    </row>
    <row r="35" spans="1:14" x14ac:dyDescent="0.4">
      <c r="A35" s="1">
        <v>100034</v>
      </c>
      <c r="B35" s="1"/>
      <c r="C35" s="1"/>
      <c r="D35" s="1"/>
      <c r="E35" s="1"/>
      <c r="F35" s="1"/>
      <c r="G35" s="1">
        <v>5</v>
      </c>
      <c r="H35" s="1">
        <v>37.5</v>
      </c>
      <c r="I35" s="6">
        <f t="shared" si="0"/>
        <v>17578.947368421053</v>
      </c>
      <c r="J35" s="1"/>
      <c r="K35" s="1" t="s">
        <v>32</v>
      </c>
      <c r="L35" s="1"/>
      <c r="M35" s="5">
        <f t="shared" si="1"/>
        <v>17578.947368421053</v>
      </c>
    </row>
    <row r="36" spans="1:14" x14ac:dyDescent="0.4">
      <c r="A36" s="1">
        <v>100035</v>
      </c>
      <c r="B36" s="1"/>
      <c r="C36" s="1"/>
      <c r="D36" s="1"/>
      <c r="E36" s="1"/>
      <c r="F36" s="1"/>
      <c r="G36" s="1">
        <v>5.5</v>
      </c>
      <c r="H36" s="1">
        <v>38</v>
      </c>
      <c r="I36" s="6">
        <f t="shared" si="0"/>
        <v>65341.315789473687</v>
      </c>
      <c r="J36" s="1"/>
      <c r="K36" s="1" t="s">
        <v>25</v>
      </c>
      <c r="L36" s="1"/>
      <c r="M36" s="5">
        <f t="shared" si="1"/>
        <v>65341.315789473687</v>
      </c>
      <c r="N36" s="2">
        <v>599</v>
      </c>
    </row>
    <row r="37" spans="1:14" x14ac:dyDescent="0.4">
      <c r="A37" s="1">
        <v>100036</v>
      </c>
      <c r="B37" s="1"/>
      <c r="C37" s="1"/>
      <c r="D37" s="1"/>
      <c r="E37" s="1"/>
      <c r="F37" s="1"/>
      <c r="G37" s="1">
        <v>6</v>
      </c>
      <c r="H37" s="1">
        <v>38.5</v>
      </c>
      <c r="I37" s="6">
        <f t="shared" si="0"/>
        <v>56570.26315789474</v>
      </c>
      <c r="J37" s="1"/>
      <c r="K37" s="1" t="s">
        <v>25</v>
      </c>
      <c r="L37" s="1"/>
      <c r="M37" s="5">
        <f t="shared" si="1"/>
        <v>56570.26315789474</v>
      </c>
      <c r="N37" s="2">
        <v>489</v>
      </c>
    </row>
    <row r="38" spans="1:14" x14ac:dyDescent="0.4">
      <c r="A38" s="1">
        <v>100037</v>
      </c>
      <c r="B38" s="1"/>
      <c r="C38" s="1"/>
      <c r="D38" s="1"/>
      <c r="E38" s="1"/>
      <c r="F38" s="1"/>
      <c r="G38" s="1">
        <v>6.5</v>
      </c>
      <c r="H38" s="1">
        <v>39</v>
      </c>
      <c r="I38" s="6">
        <f t="shared" si="0"/>
        <v>50191.315789473687</v>
      </c>
      <c r="J38" s="1"/>
      <c r="K38" s="1" t="s">
        <v>25</v>
      </c>
      <c r="L38" s="1"/>
      <c r="M38" s="5">
        <f t="shared" si="1"/>
        <v>50191.315789473687</v>
      </c>
      <c r="N38" s="2">
        <v>409</v>
      </c>
    </row>
    <row r="39" spans="1:14" x14ac:dyDescent="0.4">
      <c r="A39" s="1">
        <v>100038</v>
      </c>
      <c r="B39" s="1"/>
      <c r="C39" s="1"/>
      <c r="D39" s="1"/>
      <c r="E39" s="1"/>
      <c r="F39" s="1"/>
      <c r="G39" s="1">
        <v>7</v>
      </c>
      <c r="H39" s="1">
        <v>40</v>
      </c>
      <c r="I39" s="6">
        <f t="shared" si="0"/>
        <v>55772.894736842107</v>
      </c>
      <c r="J39" s="1"/>
      <c r="K39" s="1" t="s">
        <v>25</v>
      </c>
      <c r="L39" s="1"/>
      <c r="M39" s="5">
        <f t="shared" si="1"/>
        <v>55772.894736842107</v>
      </c>
      <c r="N39" s="2">
        <v>479</v>
      </c>
    </row>
    <row r="40" spans="1:14" x14ac:dyDescent="0.4">
      <c r="A40" s="1">
        <v>100039</v>
      </c>
      <c r="B40" s="1"/>
      <c r="C40" s="1"/>
      <c r="D40" s="1"/>
      <c r="E40" s="1"/>
      <c r="F40" s="1"/>
      <c r="G40" s="1">
        <v>7.5</v>
      </c>
      <c r="H40" s="1">
        <v>40.5</v>
      </c>
      <c r="I40" s="6">
        <f t="shared" si="0"/>
        <v>57367.631578947374</v>
      </c>
      <c r="J40" s="1"/>
      <c r="K40" s="1" t="s">
        <v>25</v>
      </c>
      <c r="L40" s="1"/>
      <c r="M40" s="5">
        <f t="shared" si="1"/>
        <v>57367.631578947374</v>
      </c>
      <c r="N40" s="2">
        <v>499</v>
      </c>
    </row>
    <row r="41" spans="1:14" x14ac:dyDescent="0.4">
      <c r="A41" s="1">
        <v>100040</v>
      </c>
      <c r="B41" s="1"/>
      <c r="C41" s="1"/>
      <c r="D41" s="1"/>
      <c r="E41" s="1"/>
      <c r="F41" s="1"/>
      <c r="G41" s="1">
        <v>8</v>
      </c>
      <c r="H41" s="1">
        <v>41</v>
      </c>
      <c r="I41" s="6">
        <f t="shared" si="0"/>
        <v>143563.15789473685</v>
      </c>
      <c r="J41" s="1"/>
      <c r="K41" s="1" t="s">
        <v>25</v>
      </c>
      <c r="L41" s="1"/>
      <c r="M41" s="5">
        <f t="shared" si="1"/>
        <v>143563.15789473685</v>
      </c>
      <c r="N41" s="2">
        <v>1580</v>
      </c>
    </row>
    <row r="42" spans="1:14" x14ac:dyDescent="0.4">
      <c r="A42" s="1">
        <v>100041</v>
      </c>
      <c r="B42" s="1"/>
      <c r="C42" s="1"/>
      <c r="D42" s="1"/>
      <c r="E42" s="1"/>
      <c r="F42" s="1"/>
      <c r="G42" s="1">
        <v>8.5</v>
      </c>
      <c r="H42" s="1">
        <v>42</v>
      </c>
      <c r="I42" s="6">
        <f t="shared" si="0"/>
        <v>136626.05263157896</v>
      </c>
      <c r="J42" s="1"/>
      <c r="K42" s="1" t="s">
        <v>25</v>
      </c>
      <c r="L42" s="1"/>
      <c r="M42" s="5">
        <f t="shared" si="1"/>
        <v>136626.05263157896</v>
      </c>
      <c r="N42" s="2">
        <v>1493</v>
      </c>
    </row>
    <row r="43" spans="1:14" x14ac:dyDescent="0.4">
      <c r="A43" s="1">
        <v>100042</v>
      </c>
      <c r="B43" s="1"/>
      <c r="C43" s="1"/>
      <c r="D43" s="1"/>
      <c r="E43" s="1"/>
      <c r="F43" s="1"/>
      <c r="G43" s="1">
        <v>9</v>
      </c>
      <c r="H43" s="1">
        <v>42.5</v>
      </c>
      <c r="I43" s="6">
        <f t="shared" si="0"/>
        <v>69647.105263157893</v>
      </c>
      <c r="J43" s="1"/>
      <c r="K43" s="1" t="s">
        <v>25</v>
      </c>
      <c r="L43" s="1"/>
      <c r="M43" s="5">
        <f t="shared" si="1"/>
        <v>69647.105263157893</v>
      </c>
      <c r="N43" s="2">
        <v>653</v>
      </c>
    </row>
    <row r="44" spans="1:14" x14ac:dyDescent="0.4">
      <c r="A44" s="1">
        <v>100043</v>
      </c>
      <c r="B44" s="1"/>
      <c r="C44" s="1"/>
      <c r="D44" s="1"/>
      <c r="E44" s="1"/>
      <c r="F44" s="1"/>
      <c r="G44" s="1">
        <v>9.5</v>
      </c>
      <c r="H44" s="1">
        <v>43</v>
      </c>
      <c r="I44" s="6">
        <f t="shared" si="0"/>
        <v>65341.315789473687</v>
      </c>
      <c r="J44" s="1"/>
      <c r="K44" s="1" t="s">
        <v>25</v>
      </c>
      <c r="L44" s="1"/>
      <c r="M44" s="5">
        <f t="shared" si="1"/>
        <v>65341.315789473687</v>
      </c>
      <c r="N44" s="2">
        <v>599</v>
      </c>
    </row>
    <row r="45" spans="1:14" x14ac:dyDescent="0.4">
      <c r="A45" s="1">
        <v>100044</v>
      </c>
      <c r="B45" s="1"/>
      <c r="C45" s="1"/>
      <c r="D45" s="1"/>
      <c r="E45" s="1"/>
      <c r="F45" s="1"/>
      <c r="G45" s="1">
        <v>10</v>
      </c>
      <c r="H45" s="1">
        <v>44</v>
      </c>
      <c r="I45" s="6">
        <f t="shared" si="0"/>
        <v>87029.736842105267</v>
      </c>
      <c r="J45" s="1"/>
      <c r="K45" s="1" t="s">
        <v>25</v>
      </c>
      <c r="L45" s="1"/>
      <c r="M45" s="5">
        <f t="shared" si="1"/>
        <v>87029.736842105267</v>
      </c>
      <c r="N45" s="2">
        <v>871</v>
      </c>
    </row>
    <row r="46" spans="1:14" x14ac:dyDescent="0.4">
      <c r="A46" s="1">
        <v>100045</v>
      </c>
      <c r="B46" s="1"/>
      <c r="C46" s="1"/>
      <c r="D46" s="1"/>
      <c r="E46" s="1"/>
      <c r="F46" s="1"/>
      <c r="G46" s="1">
        <v>10.5</v>
      </c>
      <c r="H46" s="1">
        <v>44.5</v>
      </c>
      <c r="I46" s="6">
        <f t="shared" si="0"/>
        <v>73155.526315789481</v>
      </c>
      <c r="J46" s="1"/>
      <c r="K46" s="1" t="s">
        <v>25</v>
      </c>
      <c r="L46" s="1"/>
      <c r="M46" s="5">
        <f t="shared" si="1"/>
        <v>73155.526315789481</v>
      </c>
      <c r="N46" s="2">
        <v>697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76538-67CE-4574-A08C-7F9575FC0AF6}">
  <dimension ref="A1:L33"/>
  <sheetViews>
    <sheetView workbookViewId="0">
      <selection activeCell="K1" sqref="K1"/>
    </sheetView>
  </sheetViews>
  <sheetFormatPr defaultRowHeight="14.6" x14ac:dyDescent="0.4"/>
  <cols>
    <col min="1" max="2" width="9.23046875" style="2"/>
    <col min="3" max="3" width="31.84375" style="2" bestFit="1" customWidth="1"/>
    <col min="4" max="4" width="9.23046875" style="2"/>
    <col min="5" max="5" width="11.84375" style="2" bestFit="1" customWidth="1"/>
    <col min="6" max="6" width="29.07421875" style="2" customWidth="1"/>
    <col min="7" max="7" width="11.69140625" style="2" customWidth="1"/>
    <col min="8" max="11" width="9.23046875" style="2"/>
    <col min="12" max="12" width="10.07421875" style="2" bestFit="1" customWidth="1"/>
    <col min="13" max="16384" width="9.23046875" style="2"/>
  </cols>
  <sheetData>
    <row r="1" spans="1:12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2" x14ac:dyDescent="0.4">
      <c r="A2" s="1">
        <v>500001</v>
      </c>
      <c r="B2" s="1" t="s">
        <v>5</v>
      </c>
      <c r="C2" s="1" t="s">
        <v>18</v>
      </c>
      <c r="D2" s="1" t="s">
        <v>6</v>
      </c>
      <c r="E2" s="1" t="s">
        <v>13</v>
      </c>
      <c r="F2" s="1" t="s">
        <v>22</v>
      </c>
      <c r="G2" s="1">
        <v>1</v>
      </c>
      <c r="H2" s="1"/>
      <c r="I2" s="1">
        <v>60000</v>
      </c>
      <c r="J2" s="1"/>
      <c r="K2" s="1" t="s">
        <v>25</v>
      </c>
      <c r="L2" s="1"/>
    </row>
    <row r="3" spans="1:12" x14ac:dyDescent="0.4">
      <c r="A3" s="1">
        <v>500002</v>
      </c>
      <c r="B3" s="1"/>
      <c r="C3" s="1"/>
      <c r="D3" s="1"/>
      <c r="E3" s="1"/>
      <c r="F3" s="1"/>
      <c r="G3" s="1">
        <v>2</v>
      </c>
      <c r="H3" s="1"/>
      <c r="I3" s="1">
        <v>60000</v>
      </c>
      <c r="J3" s="1"/>
      <c r="K3" s="1" t="s">
        <v>25</v>
      </c>
      <c r="L3" s="1"/>
    </row>
    <row r="4" spans="1:12" x14ac:dyDescent="0.4">
      <c r="A4" s="1">
        <v>500003</v>
      </c>
      <c r="B4" s="1"/>
      <c r="C4" s="1"/>
      <c r="D4" s="1"/>
      <c r="E4" s="1"/>
      <c r="F4" s="1"/>
      <c r="G4" s="1">
        <v>3</v>
      </c>
      <c r="H4" s="1"/>
      <c r="I4" s="1">
        <v>60000</v>
      </c>
      <c r="J4" s="1"/>
      <c r="K4" s="1" t="s">
        <v>25</v>
      </c>
      <c r="L4" s="1"/>
    </row>
    <row r="5" spans="1:12" x14ac:dyDescent="0.4">
      <c r="A5" s="1">
        <v>500004</v>
      </c>
      <c r="B5" s="1"/>
      <c r="C5" s="1"/>
      <c r="D5" s="1"/>
      <c r="E5" s="1"/>
      <c r="F5" s="1"/>
      <c r="G5" s="1">
        <v>4</v>
      </c>
      <c r="H5" s="1"/>
      <c r="I5" s="1">
        <v>60000</v>
      </c>
      <c r="J5" s="1"/>
      <c r="K5" s="1" t="s">
        <v>25</v>
      </c>
      <c r="L5" s="1"/>
    </row>
    <row r="6" spans="1:12" x14ac:dyDescent="0.4">
      <c r="A6" s="1">
        <v>500005</v>
      </c>
      <c r="B6" s="1"/>
      <c r="C6" s="1"/>
      <c r="D6" s="1"/>
      <c r="E6" s="1"/>
      <c r="F6" s="1"/>
      <c r="G6" s="1">
        <v>5</v>
      </c>
      <c r="H6" s="1"/>
      <c r="I6" s="1">
        <v>60000</v>
      </c>
      <c r="J6" s="1"/>
      <c r="K6" s="1" t="s">
        <v>25</v>
      </c>
      <c r="L6" s="1"/>
    </row>
    <row r="7" spans="1:12" x14ac:dyDescent="0.4">
      <c r="A7" s="1">
        <v>500006</v>
      </c>
      <c r="B7" s="1"/>
      <c r="C7" s="1"/>
      <c r="D7" s="1"/>
      <c r="E7" s="1"/>
      <c r="F7" s="1"/>
      <c r="G7" s="1">
        <v>6</v>
      </c>
      <c r="H7" s="1"/>
      <c r="I7" s="1">
        <v>60000</v>
      </c>
      <c r="J7" s="1"/>
      <c r="K7" s="1" t="s">
        <v>25</v>
      </c>
      <c r="L7" s="1"/>
    </row>
    <row r="8" spans="1:12" x14ac:dyDescent="0.4">
      <c r="A8" s="1">
        <v>500007</v>
      </c>
      <c r="B8" s="1"/>
      <c r="C8" s="1"/>
      <c r="D8" s="1"/>
      <c r="E8" s="1"/>
      <c r="F8" s="1"/>
      <c r="G8" s="1">
        <v>7</v>
      </c>
      <c r="H8" s="1"/>
      <c r="I8" s="1">
        <v>60000</v>
      </c>
      <c r="J8" s="1"/>
      <c r="K8" s="1" t="s">
        <v>25</v>
      </c>
      <c r="L8" s="1"/>
    </row>
    <row r="9" spans="1:12" x14ac:dyDescent="0.4">
      <c r="A9" s="1">
        <v>500008</v>
      </c>
      <c r="B9" s="1"/>
      <c r="C9" s="1"/>
      <c r="D9" s="1"/>
      <c r="E9" s="1" t="s">
        <v>7</v>
      </c>
      <c r="F9" s="1" t="s">
        <v>26</v>
      </c>
      <c r="G9" s="1">
        <v>1</v>
      </c>
      <c r="H9" s="1"/>
      <c r="I9" s="1">
        <v>60000</v>
      </c>
      <c r="J9" s="1"/>
      <c r="K9" s="1" t="s">
        <v>25</v>
      </c>
      <c r="L9" s="1"/>
    </row>
    <row r="10" spans="1:12" x14ac:dyDescent="0.4">
      <c r="A10" s="1">
        <v>500009</v>
      </c>
      <c r="B10" s="1"/>
      <c r="C10" s="1"/>
      <c r="D10" s="1"/>
      <c r="E10" s="1"/>
      <c r="F10" s="1"/>
      <c r="G10" s="1">
        <v>2</v>
      </c>
      <c r="H10" s="1"/>
      <c r="I10" s="1">
        <v>60000</v>
      </c>
      <c r="J10" s="1"/>
      <c r="K10" s="1" t="s">
        <v>25</v>
      </c>
      <c r="L10" s="1"/>
    </row>
    <row r="11" spans="1:12" x14ac:dyDescent="0.4">
      <c r="A11" s="1">
        <v>500010</v>
      </c>
      <c r="B11" s="1"/>
      <c r="C11" s="1"/>
      <c r="D11" s="1"/>
      <c r="E11" s="1"/>
      <c r="F11" s="1"/>
      <c r="G11" s="1">
        <v>3</v>
      </c>
      <c r="H11" s="1"/>
      <c r="I11" s="1">
        <v>60000</v>
      </c>
      <c r="J11" s="1"/>
      <c r="K11" s="1" t="s">
        <v>25</v>
      </c>
      <c r="L11" s="1"/>
    </row>
    <row r="12" spans="1:12" x14ac:dyDescent="0.4">
      <c r="A12" s="1">
        <v>500011</v>
      </c>
      <c r="B12" s="1"/>
      <c r="C12" s="1"/>
      <c r="D12" s="1"/>
      <c r="E12" s="1"/>
      <c r="F12" s="1"/>
      <c r="G12" s="1">
        <v>4</v>
      </c>
      <c r="H12" s="1"/>
      <c r="I12" s="1">
        <v>60000</v>
      </c>
      <c r="J12" s="1"/>
      <c r="K12" s="1" t="s">
        <v>25</v>
      </c>
      <c r="L12" s="1"/>
    </row>
    <row r="13" spans="1:12" x14ac:dyDescent="0.4">
      <c r="A13" s="1">
        <v>500012</v>
      </c>
      <c r="B13" s="1"/>
      <c r="C13" s="1"/>
      <c r="D13" s="1"/>
      <c r="E13" s="1"/>
      <c r="F13" s="1"/>
      <c r="G13" s="1">
        <v>5</v>
      </c>
      <c r="H13" s="1"/>
      <c r="I13" s="1">
        <v>60000</v>
      </c>
      <c r="J13" s="1"/>
      <c r="K13" s="1" t="s">
        <v>25</v>
      </c>
      <c r="L13" s="1"/>
    </row>
    <row r="14" spans="1:12" x14ac:dyDescent="0.4">
      <c r="A14" s="1">
        <v>500013</v>
      </c>
      <c r="B14" s="1"/>
      <c r="C14" s="1"/>
      <c r="D14" s="1"/>
      <c r="E14" s="1"/>
      <c r="F14" s="1"/>
      <c r="G14" s="1">
        <v>6</v>
      </c>
      <c r="H14" s="1"/>
      <c r="I14" s="1">
        <v>60000</v>
      </c>
      <c r="J14" s="1"/>
      <c r="K14" s="1" t="s">
        <v>25</v>
      </c>
      <c r="L14" s="1"/>
    </row>
    <row r="15" spans="1:12" x14ac:dyDescent="0.4">
      <c r="A15" s="1">
        <v>500014</v>
      </c>
      <c r="B15" s="1"/>
      <c r="C15" s="1"/>
      <c r="D15" s="1"/>
      <c r="E15" s="1"/>
      <c r="F15" s="1"/>
      <c r="G15" s="1">
        <v>7</v>
      </c>
      <c r="H15" s="1"/>
      <c r="I15" s="1">
        <v>60000</v>
      </c>
      <c r="J15" s="1"/>
      <c r="K15" s="1" t="s">
        <v>25</v>
      </c>
      <c r="L15" s="1"/>
    </row>
    <row r="16" spans="1:12" x14ac:dyDescent="0.4">
      <c r="A16" s="1"/>
      <c r="B16" s="1"/>
      <c r="C16" s="1"/>
      <c r="D16" s="1"/>
      <c r="E16" s="1"/>
      <c r="F16" s="1"/>
      <c r="G16" s="1"/>
      <c r="H16" s="1"/>
      <c r="I16" s="1">
        <v>60000</v>
      </c>
      <c r="J16" s="1"/>
      <c r="K16" s="1" t="s">
        <v>25</v>
      </c>
      <c r="L16" s="1"/>
    </row>
    <row r="17" spans="1:12" x14ac:dyDescent="0.4">
      <c r="A17" s="1">
        <v>500101</v>
      </c>
      <c r="B17" s="1" t="s">
        <v>5</v>
      </c>
      <c r="C17" s="1" t="s">
        <v>17</v>
      </c>
      <c r="D17" s="1" t="s">
        <v>6</v>
      </c>
      <c r="E17" s="1" t="s">
        <v>15</v>
      </c>
      <c r="F17" s="1" t="s">
        <v>23</v>
      </c>
      <c r="G17" s="1">
        <v>1</v>
      </c>
      <c r="H17" s="1"/>
      <c r="I17" s="1">
        <v>60000</v>
      </c>
      <c r="J17" s="1"/>
      <c r="K17" s="1" t="s">
        <v>25</v>
      </c>
      <c r="L17" s="1"/>
    </row>
    <row r="18" spans="1:12" x14ac:dyDescent="0.4">
      <c r="A18" s="1">
        <v>500102</v>
      </c>
      <c r="B18" s="1"/>
      <c r="C18" s="1"/>
      <c r="D18" s="1"/>
      <c r="E18" s="1"/>
      <c r="F18" s="1"/>
      <c r="G18" s="1">
        <v>2</v>
      </c>
      <c r="H18" s="1"/>
      <c r="I18" s="1">
        <v>60000</v>
      </c>
      <c r="J18" s="1"/>
      <c r="K18" s="1" t="s">
        <v>25</v>
      </c>
      <c r="L18" s="1"/>
    </row>
    <row r="19" spans="1:12" x14ac:dyDescent="0.4">
      <c r="A19" s="1">
        <v>500103</v>
      </c>
      <c r="B19" s="1"/>
      <c r="C19" s="1"/>
      <c r="D19" s="1"/>
      <c r="E19" s="1"/>
      <c r="F19" s="1"/>
      <c r="G19" s="1">
        <v>3</v>
      </c>
      <c r="H19" s="1"/>
      <c r="I19" s="1">
        <v>60000</v>
      </c>
      <c r="J19" s="1"/>
      <c r="K19" s="1" t="s">
        <v>25</v>
      </c>
      <c r="L19" s="1"/>
    </row>
    <row r="20" spans="1:12" x14ac:dyDescent="0.4">
      <c r="A20" s="1">
        <v>500104</v>
      </c>
      <c r="B20" s="1"/>
      <c r="C20" s="1"/>
      <c r="D20" s="1"/>
      <c r="E20" s="1"/>
      <c r="F20" s="1"/>
      <c r="G20" s="1">
        <v>4</v>
      </c>
      <c r="H20" s="1"/>
      <c r="I20" s="1">
        <v>60000</v>
      </c>
      <c r="J20" s="1"/>
      <c r="K20" s="1" t="s">
        <v>25</v>
      </c>
      <c r="L20" s="1"/>
    </row>
    <row r="21" spans="1:12" x14ac:dyDescent="0.4">
      <c r="A21" s="1">
        <v>500105</v>
      </c>
      <c r="B21" s="1"/>
      <c r="C21" s="1"/>
      <c r="D21" s="1"/>
      <c r="E21" s="1"/>
      <c r="F21" s="1"/>
      <c r="G21" s="1">
        <v>5</v>
      </c>
      <c r="H21" s="1"/>
      <c r="I21" s="1">
        <v>60000</v>
      </c>
      <c r="J21" s="1"/>
      <c r="K21" s="1" t="s">
        <v>25</v>
      </c>
      <c r="L21" s="1"/>
    </row>
    <row r="22" spans="1:12" x14ac:dyDescent="0.4">
      <c r="A22" s="1">
        <v>500106</v>
      </c>
      <c r="B22" s="1"/>
      <c r="C22" s="1"/>
      <c r="D22" s="1"/>
      <c r="E22" s="1"/>
      <c r="F22" s="1"/>
      <c r="G22" s="1">
        <v>6</v>
      </c>
      <c r="H22" s="1"/>
      <c r="I22" s="1">
        <v>60000</v>
      </c>
      <c r="J22" s="1"/>
      <c r="K22" s="1" t="s">
        <v>25</v>
      </c>
      <c r="L22" s="1"/>
    </row>
    <row r="23" spans="1:12" x14ac:dyDescent="0.4">
      <c r="A23" s="1">
        <v>500107</v>
      </c>
      <c r="B23" s="1"/>
      <c r="C23" s="1"/>
      <c r="D23" s="1"/>
      <c r="E23" s="1"/>
      <c r="F23" s="1"/>
      <c r="G23" s="1">
        <v>7</v>
      </c>
      <c r="H23" s="1"/>
      <c r="I23" s="1">
        <v>60000</v>
      </c>
      <c r="J23" s="1"/>
      <c r="K23" s="1" t="s">
        <v>25</v>
      </c>
      <c r="L23" s="1"/>
    </row>
    <row r="24" spans="1:12" x14ac:dyDescent="0.4">
      <c r="A24" s="1">
        <v>500108</v>
      </c>
      <c r="B24" s="1"/>
      <c r="C24" s="1"/>
      <c r="D24" s="1"/>
      <c r="E24" s="1"/>
      <c r="F24" s="1"/>
      <c r="G24" s="1">
        <v>8</v>
      </c>
      <c r="H24" s="1"/>
      <c r="I24" s="1">
        <v>60000</v>
      </c>
      <c r="J24" s="1"/>
      <c r="K24" s="1" t="s">
        <v>25</v>
      </c>
      <c r="L24" s="1"/>
    </row>
    <row r="25" spans="1:12" x14ac:dyDescent="0.4">
      <c r="A25" s="1"/>
      <c r="B25" s="1"/>
      <c r="C25" s="1"/>
      <c r="D25" s="1"/>
      <c r="E25" s="1"/>
      <c r="F25" s="1"/>
      <c r="G25" s="1">
        <v>9</v>
      </c>
      <c r="H25" s="1"/>
      <c r="I25" s="1">
        <v>60000</v>
      </c>
      <c r="J25" s="1"/>
      <c r="K25" s="1" t="s">
        <v>25</v>
      </c>
      <c r="L25" s="1"/>
    </row>
    <row r="26" spans="1:12" x14ac:dyDescent="0.4">
      <c r="A26" s="1">
        <v>500201</v>
      </c>
      <c r="B26" s="1" t="s">
        <v>5</v>
      </c>
      <c r="C26" s="1" t="s">
        <v>16</v>
      </c>
      <c r="D26" s="1" t="s">
        <v>6</v>
      </c>
      <c r="E26" s="1" t="s">
        <v>14</v>
      </c>
      <c r="F26" s="1" t="s">
        <v>24</v>
      </c>
      <c r="G26" s="1">
        <v>1</v>
      </c>
      <c r="H26" s="1"/>
      <c r="I26" s="1">
        <v>60000</v>
      </c>
      <c r="J26" s="1"/>
      <c r="K26" s="1" t="s">
        <v>25</v>
      </c>
      <c r="L26" s="1"/>
    </row>
    <row r="27" spans="1:12" x14ac:dyDescent="0.4">
      <c r="A27" s="1">
        <v>500202</v>
      </c>
      <c r="B27" s="1"/>
      <c r="C27" s="1"/>
      <c r="D27" s="1"/>
      <c r="E27" s="1"/>
      <c r="F27" s="1"/>
      <c r="G27" s="1">
        <v>2</v>
      </c>
      <c r="H27" s="1"/>
      <c r="I27" s="1">
        <v>60000</v>
      </c>
      <c r="J27" s="1"/>
      <c r="K27" s="1" t="s">
        <v>25</v>
      </c>
      <c r="L27" s="1"/>
    </row>
    <row r="28" spans="1:12" x14ac:dyDescent="0.4">
      <c r="A28" s="1">
        <v>500203</v>
      </c>
      <c r="B28" s="1"/>
      <c r="C28" s="1"/>
      <c r="D28" s="1"/>
      <c r="E28" s="1"/>
      <c r="F28" s="1"/>
      <c r="G28" s="1">
        <v>3</v>
      </c>
      <c r="H28" s="1"/>
      <c r="I28" s="1">
        <v>60000</v>
      </c>
      <c r="J28" s="1"/>
      <c r="K28" s="1" t="s">
        <v>25</v>
      </c>
      <c r="L28" s="1"/>
    </row>
    <row r="29" spans="1:12" x14ac:dyDescent="0.4">
      <c r="A29" s="1">
        <v>500204</v>
      </c>
      <c r="B29" s="1"/>
      <c r="C29" s="1"/>
      <c r="D29" s="1"/>
      <c r="E29" s="1"/>
      <c r="F29" s="1"/>
      <c r="G29" s="1">
        <v>4</v>
      </c>
      <c r="H29" s="1"/>
      <c r="I29" s="1">
        <v>60000</v>
      </c>
      <c r="J29" s="1"/>
      <c r="K29" s="1" t="s">
        <v>25</v>
      </c>
      <c r="L29" s="1"/>
    </row>
    <row r="30" spans="1:12" x14ac:dyDescent="0.4">
      <c r="A30" s="1">
        <v>500205</v>
      </c>
      <c r="B30" s="1"/>
      <c r="C30" s="1"/>
      <c r="D30" s="1"/>
      <c r="E30" s="1"/>
      <c r="F30" s="1"/>
      <c r="G30" s="1">
        <v>5</v>
      </c>
      <c r="H30" s="1"/>
      <c r="I30" s="1">
        <v>60000</v>
      </c>
      <c r="J30" s="1"/>
      <c r="K30" s="1" t="s">
        <v>25</v>
      </c>
      <c r="L30" s="1"/>
    </row>
    <row r="31" spans="1:12" x14ac:dyDescent="0.4">
      <c r="A31" s="1">
        <v>500206</v>
      </c>
      <c r="B31" s="1"/>
      <c r="C31" s="1"/>
      <c r="D31" s="1"/>
      <c r="E31" s="1"/>
      <c r="F31" s="1"/>
      <c r="G31" s="1">
        <v>6</v>
      </c>
      <c r="H31" s="1"/>
      <c r="I31" s="1">
        <v>60000</v>
      </c>
      <c r="J31" s="1"/>
      <c r="K31" s="1" t="s">
        <v>25</v>
      </c>
      <c r="L31" s="1"/>
    </row>
    <row r="32" spans="1:12" x14ac:dyDescent="0.4">
      <c r="A32" s="1">
        <v>500207</v>
      </c>
      <c r="B32" s="1"/>
      <c r="C32" s="1"/>
      <c r="D32" s="1"/>
      <c r="E32" s="1"/>
      <c r="F32" s="1"/>
      <c r="G32" s="1">
        <v>7</v>
      </c>
      <c r="H32" s="1"/>
      <c r="I32" s="1">
        <v>60000</v>
      </c>
      <c r="J32" s="1"/>
      <c r="K32" s="1" t="s">
        <v>25</v>
      </c>
      <c r="L32" s="1"/>
    </row>
    <row r="33" spans="1:12" x14ac:dyDescent="0.4">
      <c r="A33" s="1">
        <v>500208</v>
      </c>
      <c r="B33" s="1"/>
      <c r="C33" s="1"/>
      <c r="D33" s="1"/>
      <c r="E33" s="1"/>
      <c r="F33" s="1"/>
      <c r="G33" s="1">
        <v>8</v>
      </c>
      <c r="H33" s="1"/>
      <c r="I33" s="1">
        <v>60000</v>
      </c>
      <c r="J33" s="1"/>
      <c r="K33" s="1" t="s">
        <v>25</v>
      </c>
      <c r="L33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05B3-D1AB-4524-9EC3-00B6BED1E5F9}">
  <dimension ref="A1:N17"/>
  <sheetViews>
    <sheetView workbookViewId="0">
      <selection activeCell="I2" sqref="I2:I17"/>
    </sheetView>
  </sheetViews>
  <sheetFormatPr defaultRowHeight="14.6" x14ac:dyDescent="0.4"/>
  <cols>
    <col min="1" max="2" width="9.23046875" style="2"/>
    <col min="3" max="3" width="42" style="2" bestFit="1" customWidth="1"/>
    <col min="4" max="5" width="9.23046875" style="2"/>
    <col min="6" max="6" width="60.53515625" style="2" bestFit="1" customWidth="1"/>
    <col min="7" max="8" width="11.69140625" style="2" customWidth="1"/>
    <col min="9" max="9" width="17.61328125" style="2" customWidth="1"/>
    <col min="10" max="11" width="9.23046875" style="2"/>
    <col min="12" max="12" width="10.07421875" style="2" bestFit="1" customWidth="1"/>
    <col min="13" max="13" width="12.765625" style="2" bestFit="1" customWidth="1"/>
    <col min="14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600001</v>
      </c>
      <c r="B2" s="1" t="s">
        <v>29</v>
      </c>
      <c r="C2" s="1" t="s">
        <v>34</v>
      </c>
      <c r="D2" s="1" t="s">
        <v>6</v>
      </c>
      <c r="E2" s="1" t="s">
        <v>30</v>
      </c>
      <c r="F2" s="1" t="s">
        <v>31</v>
      </c>
      <c r="G2" s="1">
        <v>7</v>
      </c>
      <c r="H2" s="1">
        <v>40</v>
      </c>
      <c r="I2" s="1">
        <f>M2</f>
        <v>176175.5263157895</v>
      </c>
      <c r="J2" s="1"/>
      <c r="K2" s="1" t="s">
        <v>25</v>
      </c>
      <c r="L2" s="1"/>
      <c r="M2" s="5">
        <f>(N2*75+N2*75*0.01+12500+4200)/0.95</f>
        <v>176175.5263157895</v>
      </c>
      <c r="N2" s="2">
        <v>1989</v>
      </c>
    </row>
    <row r="3" spans="1:14" x14ac:dyDescent="0.4">
      <c r="A3" s="1">
        <v>600002</v>
      </c>
      <c r="B3" s="1"/>
      <c r="D3" s="1"/>
      <c r="E3" s="1"/>
      <c r="F3" s="1"/>
      <c r="G3" s="3">
        <v>7.5</v>
      </c>
      <c r="H3" s="4">
        <v>40.666666666666664</v>
      </c>
      <c r="I3" s="1">
        <f t="shared" ref="I3:I17" si="0">M3</f>
        <v>192920.26315789475</v>
      </c>
      <c r="J3" s="1"/>
      <c r="K3" s="1" t="s">
        <v>25</v>
      </c>
      <c r="L3" s="1"/>
      <c r="M3" s="5">
        <f t="shared" ref="M3:M17" si="1">(N3*75+N3*75*0.01+12500+4200)/0.95</f>
        <v>192920.26315789475</v>
      </c>
      <c r="N3" s="2">
        <v>2199</v>
      </c>
    </row>
    <row r="4" spans="1:14" x14ac:dyDescent="0.4">
      <c r="A4" s="1">
        <v>600003</v>
      </c>
      <c r="B4" s="1"/>
      <c r="C4" s="1"/>
      <c r="D4" s="1"/>
      <c r="E4" s="1"/>
      <c r="F4" s="1"/>
      <c r="G4" s="1">
        <v>8</v>
      </c>
      <c r="H4" s="4">
        <v>41.333333333333336</v>
      </c>
      <c r="I4" s="1">
        <f t="shared" si="0"/>
        <v>17578.947368421053</v>
      </c>
      <c r="J4" s="1"/>
      <c r="K4" s="1" t="s">
        <v>32</v>
      </c>
      <c r="L4" s="1"/>
      <c r="M4" s="5">
        <f t="shared" si="1"/>
        <v>17578.947368421053</v>
      </c>
    </row>
    <row r="5" spans="1:14" x14ac:dyDescent="0.4">
      <c r="A5" s="1">
        <v>600004</v>
      </c>
      <c r="B5" s="1"/>
      <c r="C5" s="1"/>
      <c r="D5" s="1"/>
      <c r="E5" s="1"/>
      <c r="F5" s="1"/>
      <c r="G5" s="1">
        <v>8.5</v>
      </c>
      <c r="H5" s="1">
        <v>42</v>
      </c>
      <c r="I5" s="1">
        <f t="shared" si="0"/>
        <v>261493.94736842107</v>
      </c>
      <c r="J5" s="1"/>
      <c r="K5" s="1" t="s">
        <v>25</v>
      </c>
      <c r="L5" s="1"/>
      <c r="M5" s="5">
        <f t="shared" si="1"/>
        <v>261493.94736842107</v>
      </c>
      <c r="N5" s="2">
        <v>3059</v>
      </c>
    </row>
    <row r="6" spans="1:14" x14ac:dyDescent="0.4">
      <c r="A6" s="1">
        <v>600005</v>
      </c>
      <c r="B6" s="1"/>
      <c r="C6" s="1"/>
      <c r="D6" s="1"/>
      <c r="E6" s="1"/>
      <c r="F6" s="1"/>
      <c r="G6" s="1">
        <v>9</v>
      </c>
      <c r="H6" s="4">
        <v>42.666666666666664</v>
      </c>
      <c r="I6" s="1">
        <f t="shared" si="0"/>
        <v>192920.26315789475</v>
      </c>
      <c r="J6" s="1"/>
      <c r="K6" s="1" t="s">
        <v>25</v>
      </c>
      <c r="L6" s="1"/>
      <c r="M6" s="5">
        <f t="shared" si="1"/>
        <v>192920.26315789475</v>
      </c>
      <c r="N6" s="2">
        <v>2199</v>
      </c>
    </row>
    <row r="7" spans="1:14" x14ac:dyDescent="0.4">
      <c r="A7" s="1">
        <v>600006</v>
      </c>
      <c r="B7" s="1"/>
      <c r="C7" s="1"/>
      <c r="D7" s="1"/>
      <c r="E7" s="1"/>
      <c r="F7" s="1"/>
      <c r="G7" s="1">
        <v>9.5</v>
      </c>
      <c r="H7" s="4">
        <v>43.333333333333336</v>
      </c>
      <c r="I7" s="1">
        <f t="shared" si="0"/>
        <v>208867.63157894739</v>
      </c>
      <c r="J7" s="1"/>
      <c r="K7" s="1" t="s">
        <v>25</v>
      </c>
      <c r="L7" s="1"/>
      <c r="M7" s="5">
        <f t="shared" si="1"/>
        <v>208867.63157894739</v>
      </c>
      <c r="N7" s="2">
        <v>2399</v>
      </c>
    </row>
    <row r="8" spans="1:14" x14ac:dyDescent="0.4">
      <c r="A8" s="1">
        <v>600007</v>
      </c>
      <c r="B8" s="1"/>
      <c r="C8" s="1"/>
      <c r="D8" s="1"/>
      <c r="E8" s="1"/>
      <c r="F8" s="1"/>
      <c r="G8" s="1">
        <v>10</v>
      </c>
      <c r="H8" s="1">
        <v>44</v>
      </c>
      <c r="I8" s="1">
        <f t="shared" si="0"/>
        <v>200893.94736842107</v>
      </c>
      <c r="J8" s="1"/>
      <c r="K8" s="1" t="s">
        <v>25</v>
      </c>
      <c r="L8" s="1"/>
      <c r="M8" s="5">
        <f t="shared" si="1"/>
        <v>200893.94736842107</v>
      </c>
      <c r="N8" s="2">
        <v>2299</v>
      </c>
    </row>
    <row r="9" spans="1:14" x14ac:dyDescent="0.4">
      <c r="A9" s="1">
        <v>600008</v>
      </c>
      <c r="B9" s="1"/>
      <c r="C9" s="1"/>
      <c r="D9" s="1"/>
      <c r="E9" s="1"/>
      <c r="F9" s="1"/>
      <c r="G9" s="1">
        <v>10.5</v>
      </c>
      <c r="H9" s="4">
        <v>44.666666666666664</v>
      </c>
      <c r="I9" s="1">
        <f t="shared" si="0"/>
        <v>208867.63157894739</v>
      </c>
      <c r="J9" s="1"/>
      <c r="K9" s="1" t="s">
        <v>25</v>
      </c>
      <c r="L9" s="1"/>
      <c r="M9" s="5">
        <f t="shared" si="1"/>
        <v>208867.63157894739</v>
      </c>
      <c r="N9" s="2">
        <v>2399</v>
      </c>
    </row>
    <row r="10" spans="1:14" x14ac:dyDescent="0.4">
      <c r="A10" s="1">
        <v>600009</v>
      </c>
      <c r="B10" s="1"/>
      <c r="C10" s="1" t="s">
        <v>33</v>
      </c>
      <c r="D10" s="1"/>
      <c r="E10" s="1" t="s">
        <v>30</v>
      </c>
      <c r="F10" s="1" t="s">
        <v>35</v>
      </c>
      <c r="G10" s="1">
        <v>7</v>
      </c>
      <c r="H10" s="1">
        <v>40</v>
      </c>
      <c r="I10" s="1">
        <f t="shared" si="0"/>
        <v>154885.78947368421</v>
      </c>
      <c r="J10" s="1"/>
      <c r="K10" s="1" t="s">
        <v>25</v>
      </c>
      <c r="L10" s="1"/>
      <c r="M10" s="5">
        <f t="shared" si="1"/>
        <v>154885.78947368421</v>
      </c>
      <c r="N10" s="2">
        <v>1722</v>
      </c>
    </row>
    <row r="11" spans="1:14" x14ac:dyDescent="0.4">
      <c r="A11" s="1">
        <v>600010</v>
      </c>
      <c r="B11" s="1"/>
      <c r="C11" s="1"/>
      <c r="D11" s="1"/>
      <c r="E11" s="1"/>
      <c r="F11" s="1"/>
      <c r="G11" s="1">
        <v>7.5</v>
      </c>
      <c r="H11" s="4">
        <v>40.666666666666664</v>
      </c>
      <c r="I11" s="1">
        <f t="shared" si="0"/>
        <v>130566.05263157895</v>
      </c>
      <c r="J11" s="1"/>
      <c r="K11" s="1" t="s">
        <v>25</v>
      </c>
      <c r="L11" s="1"/>
      <c r="M11" s="5">
        <f t="shared" si="1"/>
        <v>130566.05263157895</v>
      </c>
      <c r="N11" s="2">
        <v>1417</v>
      </c>
    </row>
    <row r="12" spans="1:14" x14ac:dyDescent="0.4">
      <c r="A12" s="1">
        <v>600011</v>
      </c>
      <c r="B12" s="1"/>
      <c r="C12" s="1"/>
      <c r="D12" s="1"/>
      <c r="E12" s="1"/>
      <c r="F12" s="1"/>
      <c r="G12" s="1">
        <v>8</v>
      </c>
      <c r="H12" s="4">
        <v>41.333333333333336</v>
      </c>
      <c r="I12" s="1">
        <f t="shared" si="0"/>
        <v>138380.26315789475</v>
      </c>
      <c r="J12" s="1"/>
      <c r="K12" s="1" t="s">
        <v>25</v>
      </c>
      <c r="L12" s="1"/>
      <c r="M12" s="5">
        <f t="shared" si="1"/>
        <v>138380.26315789475</v>
      </c>
      <c r="N12" s="2">
        <v>1515</v>
      </c>
    </row>
    <row r="13" spans="1:14" x14ac:dyDescent="0.4">
      <c r="A13" s="1">
        <v>600012</v>
      </c>
      <c r="B13" s="1"/>
      <c r="C13" s="1"/>
      <c r="D13" s="1"/>
      <c r="E13" s="1"/>
      <c r="F13" s="1"/>
      <c r="G13" s="1">
        <v>8.5</v>
      </c>
      <c r="H13" s="1">
        <v>42</v>
      </c>
      <c r="I13" s="1">
        <f t="shared" si="0"/>
        <v>138699.21052631579</v>
      </c>
      <c r="J13" s="1"/>
      <c r="K13" s="1" t="s">
        <v>25</v>
      </c>
      <c r="L13" s="1"/>
      <c r="M13" s="5">
        <f t="shared" si="1"/>
        <v>138699.21052631579</v>
      </c>
      <c r="N13" s="2">
        <v>1519</v>
      </c>
    </row>
    <row r="14" spans="1:14" x14ac:dyDescent="0.4">
      <c r="A14" s="1">
        <v>600013</v>
      </c>
      <c r="B14" s="1"/>
      <c r="C14" s="1"/>
      <c r="D14" s="1"/>
      <c r="E14" s="1"/>
      <c r="F14" s="1"/>
      <c r="G14" s="1">
        <v>9</v>
      </c>
      <c r="H14" s="4">
        <v>42.666666666666664</v>
      </c>
      <c r="I14" s="1">
        <f t="shared" si="0"/>
        <v>133994.73684210528</v>
      </c>
      <c r="J14" s="1"/>
      <c r="K14" s="1" t="s">
        <v>25</v>
      </c>
      <c r="L14" s="1"/>
      <c r="M14" s="5">
        <f t="shared" si="1"/>
        <v>133994.73684210528</v>
      </c>
      <c r="N14" s="2">
        <v>1460</v>
      </c>
    </row>
    <row r="15" spans="1:14" x14ac:dyDescent="0.4">
      <c r="A15" s="1">
        <v>600014</v>
      </c>
      <c r="B15" s="1"/>
      <c r="C15" s="1"/>
      <c r="D15" s="1"/>
      <c r="E15" s="1"/>
      <c r="F15" s="1"/>
      <c r="G15" s="1">
        <v>9.5</v>
      </c>
      <c r="H15" s="4">
        <v>43.333333333333336</v>
      </c>
      <c r="I15" s="1">
        <f t="shared" si="0"/>
        <v>140293.94736842107</v>
      </c>
      <c r="J15" s="1"/>
      <c r="K15" s="1" t="s">
        <v>25</v>
      </c>
      <c r="L15" s="1"/>
      <c r="M15" s="5">
        <f t="shared" si="1"/>
        <v>140293.94736842107</v>
      </c>
      <c r="N15" s="2">
        <v>1539</v>
      </c>
    </row>
    <row r="16" spans="1:14" x14ac:dyDescent="0.4">
      <c r="A16" s="1">
        <v>600015</v>
      </c>
      <c r="B16" s="1"/>
      <c r="C16" s="1"/>
      <c r="D16" s="1"/>
      <c r="E16" s="1"/>
      <c r="F16" s="1"/>
      <c r="G16" s="1">
        <v>10</v>
      </c>
      <c r="H16" s="1">
        <v>44</v>
      </c>
      <c r="I16" s="1">
        <f t="shared" si="0"/>
        <v>138380.26315789475</v>
      </c>
      <c r="J16" s="1"/>
      <c r="K16" s="1" t="s">
        <v>25</v>
      </c>
      <c r="L16" s="1"/>
      <c r="M16" s="5">
        <f t="shared" si="1"/>
        <v>138380.26315789475</v>
      </c>
      <c r="N16" s="2">
        <v>1515</v>
      </c>
    </row>
    <row r="17" spans="1:14" x14ac:dyDescent="0.4">
      <c r="A17" s="1">
        <v>600016</v>
      </c>
      <c r="B17" s="1"/>
      <c r="C17" s="1"/>
      <c r="D17" s="1"/>
      <c r="E17" s="1"/>
      <c r="F17" s="1"/>
      <c r="G17" s="1">
        <v>10.5</v>
      </c>
      <c r="H17" s="4">
        <v>44.666666666666664</v>
      </c>
      <c r="I17" s="1">
        <f t="shared" si="0"/>
        <v>136626.05263157896</v>
      </c>
      <c r="J17" s="1"/>
      <c r="K17" s="1" t="s">
        <v>25</v>
      </c>
      <c r="L17" s="1"/>
      <c r="M17" s="5">
        <f t="shared" si="1"/>
        <v>136626.05263157896</v>
      </c>
      <c r="N17" s="2">
        <v>1493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F729F-C529-4664-B380-6B3D1560D1EA}">
  <dimension ref="A1:N17"/>
  <sheetViews>
    <sheetView workbookViewId="0">
      <selection activeCell="I2" sqref="I2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700001</v>
      </c>
      <c r="B2" s="1" t="s">
        <v>36</v>
      </c>
      <c r="C2" s="1" t="s">
        <v>39</v>
      </c>
      <c r="D2" s="1" t="s">
        <v>38</v>
      </c>
      <c r="E2" s="1" t="s">
        <v>7</v>
      </c>
      <c r="F2" s="1" t="s">
        <v>37</v>
      </c>
      <c r="G2" s="1">
        <v>6.5</v>
      </c>
      <c r="H2" s="1">
        <v>38.5</v>
      </c>
      <c r="I2" s="6">
        <f>M2</f>
        <v>121157.10526315789</v>
      </c>
      <c r="J2" s="1"/>
      <c r="K2" s="1" t="s">
        <v>25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700002</v>
      </c>
      <c r="B3" s="1"/>
      <c r="C3" s="2"/>
      <c r="D3" s="1"/>
      <c r="E3" s="1"/>
      <c r="F3" s="1"/>
      <c r="G3" s="1">
        <v>7</v>
      </c>
      <c r="H3" s="1">
        <v>39</v>
      </c>
      <c r="I3" s="6">
        <f t="shared" ref="I3:I10" si="0">M3</f>
        <v>113183.42105263159</v>
      </c>
      <c r="J3" s="1"/>
      <c r="K3" s="1" t="s">
        <v>25</v>
      </c>
      <c r="L3" s="1"/>
      <c r="M3" s="5">
        <f t="shared" ref="M3:M10" si="1">(N3*75+N3*75*0.01+12500+4200)/0.95</f>
        <v>113183.42105263159</v>
      </c>
      <c r="N3" s="2">
        <v>1199</v>
      </c>
    </row>
    <row r="4" spans="1:14" x14ac:dyDescent="0.4">
      <c r="A4" s="1">
        <v>700003</v>
      </c>
      <c r="B4" s="1"/>
      <c r="C4" s="1"/>
      <c r="D4" s="1"/>
      <c r="E4" s="1"/>
      <c r="F4" s="1"/>
      <c r="G4" s="1">
        <v>7.5</v>
      </c>
      <c r="H4" s="1">
        <v>40</v>
      </c>
      <c r="I4" s="6">
        <f t="shared" si="0"/>
        <v>121157.10526315789</v>
      </c>
      <c r="J4" s="1"/>
      <c r="K4" s="1" t="s">
        <v>32</v>
      </c>
      <c r="L4" s="1"/>
      <c r="M4" s="5">
        <f t="shared" si="1"/>
        <v>121157.10526315789</v>
      </c>
      <c r="N4" s="2">
        <v>1299</v>
      </c>
    </row>
    <row r="5" spans="1:14" x14ac:dyDescent="0.4">
      <c r="A5" s="1">
        <v>700004</v>
      </c>
      <c r="B5" s="1"/>
      <c r="C5" s="1"/>
      <c r="D5" s="1"/>
      <c r="E5" s="1"/>
      <c r="F5" s="1"/>
      <c r="G5" s="1">
        <v>8</v>
      </c>
      <c r="H5" s="1">
        <v>40.5</v>
      </c>
      <c r="I5" s="6">
        <f t="shared" si="0"/>
        <v>121157.10526315789</v>
      </c>
      <c r="J5" s="1"/>
      <c r="K5" s="1" t="s">
        <v>25</v>
      </c>
      <c r="L5" s="1"/>
      <c r="M5" s="5">
        <f t="shared" si="1"/>
        <v>121157.10526315789</v>
      </c>
      <c r="N5" s="2">
        <v>1299</v>
      </c>
    </row>
    <row r="6" spans="1:14" x14ac:dyDescent="0.4">
      <c r="A6" s="1">
        <v>700005</v>
      </c>
      <c r="B6" s="1"/>
      <c r="C6" s="1"/>
      <c r="D6" s="1"/>
      <c r="E6" s="1"/>
      <c r="F6" s="1"/>
      <c r="G6" s="1">
        <v>8.5</v>
      </c>
      <c r="H6" s="1">
        <v>41</v>
      </c>
      <c r="I6" s="6">
        <f t="shared" si="0"/>
        <v>113183.42105263159</v>
      </c>
      <c r="J6" s="1"/>
      <c r="K6" s="1" t="s">
        <v>25</v>
      </c>
      <c r="L6" s="1"/>
      <c r="M6" s="5">
        <f t="shared" si="1"/>
        <v>113183.42105263159</v>
      </c>
      <c r="N6" s="2">
        <v>1199</v>
      </c>
    </row>
    <row r="7" spans="1:14" x14ac:dyDescent="0.4">
      <c r="A7" s="1">
        <v>700006</v>
      </c>
      <c r="B7" s="1"/>
      <c r="C7" s="1"/>
      <c r="D7" s="1"/>
      <c r="E7" s="1"/>
      <c r="F7" s="1"/>
      <c r="G7" s="1">
        <v>9</v>
      </c>
      <c r="H7" s="1">
        <v>42</v>
      </c>
      <c r="I7" s="6">
        <f t="shared" si="0"/>
        <v>113183.42105263159</v>
      </c>
      <c r="J7" s="1"/>
      <c r="K7" s="1" t="s">
        <v>25</v>
      </c>
      <c r="L7" s="1"/>
      <c r="M7" s="5">
        <f t="shared" si="1"/>
        <v>113183.42105263159</v>
      </c>
      <c r="N7" s="2">
        <v>1199</v>
      </c>
    </row>
    <row r="8" spans="1:14" x14ac:dyDescent="0.4">
      <c r="A8" s="1">
        <v>700007</v>
      </c>
      <c r="B8" s="1"/>
      <c r="C8" s="1"/>
      <c r="D8" s="1"/>
      <c r="E8" s="1"/>
      <c r="F8" s="1"/>
      <c r="G8" s="1">
        <v>9.5</v>
      </c>
      <c r="H8" s="1">
        <v>42.5</v>
      </c>
      <c r="I8" s="6">
        <f t="shared" si="0"/>
        <v>118366.31578947369</v>
      </c>
      <c r="J8" s="1"/>
      <c r="K8" s="1" t="s">
        <v>25</v>
      </c>
      <c r="L8" s="1"/>
      <c r="M8" s="5">
        <f t="shared" si="1"/>
        <v>118366.31578947369</v>
      </c>
      <c r="N8" s="2">
        <v>1264</v>
      </c>
    </row>
    <row r="9" spans="1:14" x14ac:dyDescent="0.4">
      <c r="A9" s="1">
        <v>700008</v>
      </c>
      <c r="B9" s="1"/>
      <c r="C9" s="1"/>
      <c r="D9" s="1"/>
      <c r="E9" s="1"/>
      <c r="F9" s="1"/>
      <c r="G9" s="1">
        <v>10</v>
      </c>
      <c r="H9" s="1">
        <v>43</v>
      </c>
      <c r="I9" s="6">
        <f t="shared" si="0"/>
        <v>103615</v>
      </c>
      <c r="J9" s="1"/>
      <c r="K9" s="1" t="s">
        <v>25</v>
      </c>
      <c r="L9" s="1"/>
      <c r="M9" s="5">
        <f t="shared" si="1"/>
        <v>103615</v>
      </c>
      <c r="N9" s="2">
        <v>1079</v>
      </c>
    </row>
    <row r="10" spans="1:14" x14ac:dyDescent="0.4">
      <c r="A10" s="1">
        <v>700009</v>
      </c>
      <c r="B10" s="1"/>
      <c r="C10" s="1"/>
      <c r="D10" s="1"/>
      <c r="E10" s="1"/>
      <c r="F10" s="1"/>
      <c r="G10" s="1">
        <v>10.5</v>
      </c>
      <c r="H10" s="1">
        <v>44</v>
      </c>
      <c r="I10" s="6">
        <f t="shared" si="0"/>
        <v>118366.31578947369</v>
      </c>
      <c r="J10" s="1"/>
      <c r="K10" s="1" t="s">
        <v>25</v>
      </c>
      <c r="L10" s="1"/>
      <c r="M10" s="5">
        <f t="shared" si="1"/>
        <v>118366.31578947369</v>
      </c>
      <c r="N10" s="2">
        <v>1264</v>
      </c>
    </row>
    <row r="11" spans="1:14" x14ac:dyDescent="0.4">
      <c r="A11" s="1">
        <v>700010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700011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700012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700013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700014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700015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700016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FF6B0-2ED8-40AD-89AB-0D56B3E2506F}">
  <dimension ref="A1:N17"/>
  <sheetViews>
    <sheetView workbookViewId="0">
      <selection activeCell="F8" sqref="F8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800001</v>
      </c>
      <c r="B2" s="1" t="s">
        <v>40</v>
      </c>
      <c r="C2" s="1" t="s">
        <v>41</v>
      </c>
      <c r="D2" s="1" t="s">
        <v>6</v>
      </c>
      <c r="E2" s="1" t="s">
        <v>13</v>
      </c>
      <c r="F2" s="1" t="s">
        <v>42</v>
      </c>
      <c r="G2" s="1">
        <v>6.5</v>
      </c>
      <c r="H2" s="1">
        <v>39.5</v>
      </c>
      <c r="I2" s="6">
        <f>M2</f>
        <v>121157.10526315789</v>
      </c>
      <c r="J2" s="1"/>
      <c r="K2" s="1" t="s">
        <v>32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800002</v>
      </c>
      <c r="B3" s="1"/>
      <c r="C3" s="2"/>
      <c r="D3" s="1"/>
      <c r="E3" s="1"/>
      <c r="F3" s="1"/>
      <c r="G3" s="1">
        <v>7</v>
      </c>
      <c r="H3" s="1">
        <v>40</v>
      </c>
      <c r="I3" s="6">
        <f t="shared" ref="I3:I10" si="0">M3</f>
        <v>78099.210526315786</v>
      </c>
      <c r="J3" s="1"/>
      <c r="K3" s="1" t="s">
        <v>25</v>
      </c>
      <c r="L3" s="1"/>
      <c r="M3" s="5">
        <f t="shared" ref="M3:M10" si="1">(N3*75+N3*75*0.01+12500+4200)/0.95</f>
        <v>78099.210526315786</v>
      </c>
      <c r="N3" s="2">
        <v>759</v>
      </c>
    </row>
    <row r="4" spans="1:14" x14ac:dyDescent="0.4">
      <c r="A4" s="1">
        <v>800003</v>
      </c>
      <c r="B4" s="1"/>
      <c r="C4" s="1"/>
      <c r="D4" s="1"/>
      <c r="E4" s="1"/>
      <c r="F4" s="1"/>
      <c r="G4" s="1">
        <v>7.5</v>
      </c>
      <c r="H4" s="1">
        <v>41</v>
      </c>
      <c r="I4" s="6">
        <f t="shared" si="0"/>
        <v>72278.421052631587</v>
      </c>
      <c r="J4" s="1"/>
      <c r="K4" s="1" t="s">
        <v>25</v>
      </c>
      <c r="L4" s="1"/>
      <c r="M4" s="5">
        <f t="shared" si="1"/>
        <v>72278.421052631587</v>
      </c>
      <c r="N4" s="2">
        <v>686</v>
      </c>
    </row>
    <row r="5" spans="1:14" x14ac:dyDescent="0.4">
      <c r="A5" s="1">
        <v>800004</v>
      </c>
      <c r="B5" s="1"/>
      <c r="C5" s="1"/>
      <c r="D5" s="1"/>
      <c r="E5" s="1"/>
      <c r="F5" s="1"/>
      <c r="G5" s="1">
        <v>8</v>
      </c>
      <c r="H5" s="1">
        <v>41.5</v>
      </c>
      <c r="I5" s="6">
        <f t="shared" si="0"/>
        <v>67733.421052631587</v>
      </c>
      <c r="J5" s="1"/>
      <c r="K5" s="1" t="s">
        <v>25</v>
      </c>
      <c r="L5" s="1"/>
      <c r="M5" s="5">
        <f t="shared" si="1"/>
        <v>67733.421052631587</v>
      </c>
      <c r="N5" s="2">
        <v>629</v>
      </c>
    </row>
    <row r="6" spans="1:14" x14ac:dyDescent="0.4">
      <c r="A6" s="1">
        <v>800005</v>
      </c>
      <c r="B6" s="1"/>
      <c r="C6" s="1"/>
      <c r="D6" s="1"/>
      <c r="E6" s="1"/>
      <c r="F6" s="1"/>
      <c r="G6" s="1">
        <v>8.5</v>
      </c>
      <c r="H6" s="1">
        <v>42</v>
      </c>
      <c r="I6" s="6">
        <f t="shared" si="0"/>
        <v>76504.473684210534</v>
      </c>
      <c r="J6" s="1"/>
      <c r="K6" s="1" t="s">
        <v>25</v>
      </c>
      <c r="L6" s="1"/>
      <c r="M6" s="5">
        <f t="shared" si="1"/>
        <v>76504.473684210534</v>
      </c>
      <c r="N6" s="2">
        <v>739</v>
      </c>
    </row>
    <row r="7" spans="1:14" x14ac:dyDescent="0.4">
      <c r="A7" s="1">
        <v>800006</v>
      </c>
      <c r="B7" s="1"/>
      <c r="C7" s="1"/>
      <c r="D7" s="1"/>
      <c r="E7" s="1"/>
      <c r="F7" s="1"/>
      <c r="G7" s="1">
        <v>9</v>
      </c>
      <c r="H7" s="1">
        <v>43</v>
      </c>
      <c r="I7" s="6">
        <f t="shared" si="0"/>
        <v>77301.84210526316</v>
      </c>
      <c r="J7" s="1"/>
      <c r="K7" s="1" t="s">
        <v>25</v>
      </c>
      <c r="L7" s="1"/>
      <c r="M7" s="5">
        <f t="shared" si="1"/>
        <v>77301.84210526316</v>
      </c>
      <c r="N7" s="2">
        <v>749</v>
      </c>
    </row>
    <row r="8" spans="1:14" x14ac:dyDescent="0.4">
      <c r="A8" s="1">
        <v>800007</v>
      </c>
      <c r="B8" s="1"/>
      <c r="C8" s="1"/>
      <c r="D8" s="1"/>
      <c r="E8" s="1"/>
      <c r="F8" s="1"/>
      <c r="G8" s="1">
        <v>9.5</v>
      </c>
      <c r="H8" s="1">
        <v>43.5</v>
      </c>
      <c r="I8" s="6">
        <f t="shared" si="0"/>
        <v>69647.105263157893</v>
      </c>
      <c r="J8" s="1"/>
      <c r="K8" s="1" t="s">
        <v>25</v>
      </c>
      <c r="L8" s="1"/>
      <c r="M8" s="5">
        <f t="shared" si="1"/>
        <v>69647.105263157893</v>
      </c>
      <c r="N8" s="2">
        <v>653</v>
      </c>
    </row>
    <row r="9" spans="1:14" x14ac:dyDescent="0.4">
      <c r="A9" s="1">
        <v>800008</v>
      </c>
      <c r="B9" s="1"/>
      <c r="C9" s="1"/>
      <c r="D9" s="1"/>
      <c r="E9" s="1"/>
      <c r="F9" s="1"/>
      <c r="G9" s="1">
        <v>10</v>
      </c>
      <c r="H9" s="1">
        <v>44</v>
      </c>
      <c r="I9" s="6">
        <f t="shared" si="0"/>
        <v>74830</v>
      </c>
      <c r="J9" s="1"/>
      <c r="K9" s="1" t="s">
        <v>25</v>
      </c>
      <c r="L9" s="1"/>
      <c r="M9" s="5">
        <f t="shared" si="1"/>
        <v>74830</v>
      </c>
      <c r="N9" s="2">
        <v>718</v>
      </c>
    </row>
    <row r="10" spans="1:14" x14ac:dyDescent="0.4">
      <c r="A10" s="1">
        <v>800009</v>
      </c>
      <c r="B10" s="1"/>
      <c r="C10" s="1"/>
      <c r="D10" s="1"/>
      <c r="E10" s="1"/>
      <c r="F10" s="1"/>
      <c r="G10" s="1">
        <v>10.5</v>
      </c>
      <c r="H10" s="1">
        <v>44.5</v>
      </c>
      <c r="I10" s="6">
        <f t="shared" si="0"/>
        <v>97236.052631578947</v>
      </c>
      <c r="J10" s="1"/>
      <c r="K10" s="1" t="s">
        <v>25</v>
      </c>
      <c r="L10" s="1"/>
      <c r="M10" s="5">
        <f t="shared" si="1"/>
        <v>97236.052631578947</v>
      </c>
      <c r="N10" s="2">
        <v>999</v>
      </c>
    </row>
    <row r="11" spans="1:14" x14ac:dyDescent="0.4">
      <c r="A11" s="1">
        <v>800010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800011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800012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800013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800014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800015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800016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Nike</vt:lpstr>
      <vt:lpstr>Mizuno</vt:lpstr>
      <vt:lpstr>Hoka</vt:lpstr>
      <vt:lpstr>The North Face</vt:lpstr>
      <vt:lpstr>Timberland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Саркисян Давид</dc:creator>
  <cp:lastModifiedBy>Adil Muhamet</cp:lastModifiedBy>
  <dcterms:created xsi:type="dcterms:W3CDTF">2014-05-19T12:46:12Z</dcterms:created>
  <dcterms:modified xsi:type="dcterms:W3CDTF">2025-11-14T11:11:21Z</dcterms:modified>
</cp:coreProperties>
</file>